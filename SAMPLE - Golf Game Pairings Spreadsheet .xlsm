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ytho\python\Excel VBA\Batavia\"/>
    </mc:Choice>
  </mc:AlternateContent>
  <bookViews>
    <workbookView xWindow="0" yWindow="0" windowWidth="28800" windowHeight="12210" tabRatio="500"/>
  </bookViews>
  <sheets>
    <sheet name="Dashboard" sheetId="4" r:id="rId1"/>
    <sheet name="Participants" sheetId="1" r:id="rId2"/>
    <sheet name="Match Pairings" sheetId="3" r:id="rId3"/>
    <sheet name="Match History" sheetId="2" r:id="rId4"/>
    <sheet name="Scratch" sheetId="5" state="hidden" r:id="rId5"/>
    <sheet name="Scratch2" sheetId="6" state="hidden" r:id="rId6"/>
  </sheets>
  <definedNames>
    <definedName name="excludedCount">'Match History'!$M$2:$M$26</definedName>
    <definedName name="fifthCount">'Match History'!$L$2:$L$26</definedName>
    <definedName name="matchupCount">'Match History'!$O$2:$O$301</definedName>
    <definedName name="Participants">Participants!$A$2:$A$26</definedName>
    <definedName name="playerPair">'Match History'!$N$2:$N$301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2" i="2" l="1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" i="2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" i="2"/>
  <c r="S19" i="2" l="1"/>
  <c r="S20" i="2"/>
  <c r="S21" i="2"/>
  <c r="S22" i="2"/>
  <c r="S23" i="2"/>
  <c r="S24" i="2"/>
  <c r="R19" i="2"/>
  <c r="R20" i="2"/>
  <c r="R21" i="2"/>
  <c r="R22" i="2"/>
  <c r="R23" i="2"/>
  <c r="R24" i="2"/>
  <c r="Q19" i="2"/>
  <c r="Q20" i="2"/>
  <c r="Q21" i="2"/>
  <c r="Q22" i="2"/>
  <c r="Q23" i="2"/>
  <c r="Q24" i="2"/>
  <c r="P19" i="2"/>
  <c r="P20" i="2"/>
  <c r="P21" i="2"/>
  <c r="P22" i="2"/>
  <c r="P23" i="2"/>
  <c r="P24" i="2"/>
  <c r="S25" i="2" l="1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K26" i="2" l="1"/>
  <c r="M26" i="2" s="1"/>
  <c r="K25" i="2"/>
  <c r="K24" i="2"/>
  <c r="M24" i="2" s="1"/>
  <c r="K23" i="2"/>
  <c r="K22" i="2"/>
  <c r="L22" i="2" s="1"/>
  <c r="K21" i="2"/>
  <c r="M21" i="2" s="1"/>
  <c r="K20" i="2"/>
  <c r="L20" i="2" s="1"/>
  <c r="K19" i="2"/>
  <c r="K18" i="2"/>
  <c r="K17" i="2"/>
  <c r="K16" i="2"/>
  <c r="M16" i="2" s="1"/>
  <c r="K15" i="2"/>
  <c r="K14" i="2"/>
  <c r="M14" i="2" s="1"/>
  <c r="K13" i="2"/>
  <c r="M13" i="2" s="1"/>
  <c r="K12" i="2"/>
  <c r="K11" i="2"/>
  <c r="K10" i="2"/>
  <c r="N180" i="2" s="1"/>
  <c r="K9" i="2"/>
  <c r="K8" i="2"/>
  <c r="M8" i="2" s="1"/>
  <c r="K7" i="2"/>
  <c r="K6" i="2"/>
  <c r="K5" i="2"/>
  <c r="K4" i="2"/>
  <c r="N54" i="2" s="1"/>
  <c r="K3" i="2"/>
  <c r="K2" i="2"/>
  <c r="N200" i="2" l="1"/>
  <c r="N243" i="2"/>
  <c r="O243" i="2" s="1"/>
  <c r="N27" i="2"/>
  <c r="N193" i="2"/>
  <c r="O193" i="2" s="1"/>
  <c r="N4" i="2"/>
  <c r="O4" i="2" s="1"/>
  <c r="N153" i="2"/>
  <c r="O153" i="2" s="1"/>
  <c r="N79" i="2"/>
  <c r="N259" i="2"/>
  <c r="O259" i="2" s="1"/>
  <c r="O180" i="2"/>
  <c r="O27" i="2"/>
  <c r="O200" i="2"/>
  <c r="O54" i="2"/>
  <c r="O79" i="2"/>
  <c r="N94" i="2"/>
  <c r="O94" i="2" s="1"/>
  <c r="L16" i="2"/>
  <c r="M22" i="2"/>
  <c r="M4" i="2"/>
  <c r="N64" i="2"/>
  <c r="O64" i="2" s="1"/>
  <c r="N232" i="2"/>
  <c r="O232" i="2" s="1"/>
  <c r="L14" i="2"/>
  <c r="M20" i="2"/>
  <c r="N22" i="2"/>
  <c r="O22" i="2" s="1"/>
  <c r="N58" i="2"/>
  <c r="O58" i="2" s="1"/>
  <c r="N252" i="2"/>
  <c r="O252" i="2" s="1"/>
  <c r="N116" i="2"/>
  <c r="O116" i="2" s="1"/>
  <c r="L10" i="2"/>
  <c r="N14" i="2"/>
  <c r="O14" i="2" s="1"/>
  <c r="N89" i="2"/>
  <c r="O89" i="2" s="1"/>
  <c r="L26" i="2"/>
  <c r="L8" i="2"/>
  <c r="N10" i="2"/>
  <c r="O10" i="2" s="1"/>
  <c r="N83" i="2"/>
  <c r="O83" i="2" s="1"/>
  <c r="N300" i="2"/>
  <c r="O300" i="2" s="1"/>
  <c r="L4" i="2"/>
  <c r="M10" i="2"/>
  <c r="N111" i="2"/>
  <c r="O111" i="2" s="1"/>
  <c r="N37" i="2"/>
  <c r="O37" i="2" s="1"/>
  <c r="N187" i="2"/>
  <c r="O187" i="2" s="1"/>
  <c r="N301" i="2"/>
  <c r="O301" i="2" s="1"/>
  <c r="N92" i="2"/>
  <c r="O92" i="2" s="1"/>
  <c r="N128" i="2"/>
  <c r="O128" i="2" s="1"/>
  <c r="N135" i="2"/>
  <c r="O135" i="2" s="1"/>
  <c r="N168" i="2"/>
  <c r="O168" i="2" s="1"/>
  <c r="N218" i="2"/>
  <c r="O218" i="2" s="1"/>
  <c r="N291" i="2"/>
  <c r="O291" i="2" s="1"/>
  <c r="M2" i="2"/>
  <c r="N5" i="2"/>
  <c r="O5" i="2" s="1"/>
  <c r="N11" i="2"/>
  <c r="O11" i="2" s="1"/>
  <c r="N17" i="2"/>
  <c r="O17" i="2" s="1"/>
  <c r="N7" i="2"/>
  <c r="O7" i="2" s="1"/>
  <c r="N13" i="2"/>
  <c r="O13" i="2" s="1"/>
  <c r="N19" i="2"/>
  <c r="O19" i="2" s="1"/>
  <c r="N3" i="2"/>
  <c r="O3" i="2" s="1"/>
  <c r="N136" i="2"/>
  <c r="O136" i="2" s="1"/>
  <c r="N142" i="2"/>
  <c r="O142" i="2" s="1"/>
  <c r="N131" i="2"/>
  <c r="O131" i="2" s="1"/>
  <c r="N148" i="2"/>
  <c r="O148" i="2" s="1"/>
  <c r="N137" i="2"/>
  <c r="O137" i="2" s="1"/>
  <c r="N143" i="2"/>
  <c r="O143" i="2" s="1"/>
  <c r="N132" i="2"/>
  <c r="O132" i="2" s="1"/>
  <c r="N138" i="2"/>
  <c r="O138" i="2" s="1"/>
  <c r="N144" i="2"/>
  <c r="O144" i="2" s="1"/>
  <c r="N133" i="2"/>
  <c r="O133" i="2" s="1"/>
  <c r="N139" i="2"/>
  <c r="O139" i="2" s="1"/>
  <c r="N134" i="2"/>
  <c r="O134" i="2" s="1"/>
  <c r="N140" i="2"/>
  <c r="O140" i="2" s="1"/>
  <c r="N146" i="2"/>
  <c r="O146" i="2" s="1"/>
  <c r="N227" i="2"/>
  <c r="O227" i="2" s="1"/>
  <c r="N233" i="2"/>
  <c r="O233" i="2" s="1"/>
  <c r="N228" i="2"/>
  <c r="O228" i="2" s="1"/>
  <c r="N234" i="2"/>
  <c r="O234" i="2" s="1"/>
  <c r="N229" i="2"/>
  <c r="O229" i="2" s="1"/>
  <c r="N235" i="2"/>
  <c r="O235" i="2" s="1"/>
  <c r="N230" i="2"/>
  <c r="O230" i="2" s="1"/>
  <c r="N224" i="2"/>
  <c r="O224" i="2" s="1"/>
  <c r="N225" i="2"/>
  <c r="O225" i="2" s="1"/>
  <c r="N231" i="2"/>
  <c r="O231" i="2" s="1"/>
  <c r="N281" i="2"/>
  <c r="O281" i="2" s="1"/>
  <c r="N282" i="2"/>
  <c r="O282" i="2" s="1"/>
  <c r="N283" i="2"/>
  <c r="O283" i="2" s="1"/>
  <c r="N284" i="2"/>
  <c r="O284" i="2" s="1"/>
  <c r="N285" i="2"/>
  <c r="O285" i="2" s="1"/>
  <c r="L21" i="2"/>
  <c r="L15" i="2"/>
  <c r="L9" i="2"/>
  <c r="L3" i="2"/>
  <c r="M15" i="2"/>
  <c r="M9" i="2"/>
  <c r="M3" i="2"/>
  <c r="N21" i="2"/>
  <c r="O21" i="2" s="1"/>
  <c r="N12" i="2"/>
  <c r="O12" i="2" s="1"/>
  <c r="N26" i="2"/>
  <c r="O26" i="2" s="1"/>
  <c r="N33" i="2"/>
  <c r="O33" i="2" s="1"/>
  <c r="N60" i="2"/>
  <c r="O60" i="2" s="1"/>
  <c r="N85" i="2"/>
  <c r="O85" i="2" s="1"/>
  <c r="N102" i="2"/>
  <c r="O102" i="2" s="1"/>
  <c r="N124" i="2"/>
  <c r="O124" i="2" s="1"/>
  <c r="N165" i="2"/>
  <c r="O165" i="2" s="1"/>
  <c r="N212" i="2"/>
  <c r="O212" i="2" s="1"/>
  <c r="N265" i="2"/>
  <c r="O265" i="2" s="1"/>
  <c r="N294" i="2"/>
  <c r="O294" i="2" s="1"/>
  <c r="N280" i="2"/>
  <c r="O280" i="2" s="1"/>
  <c r="N275" i="2"/>
  <c r="O275" i="2" s="1"/>
  <c r="N274" i="2"/>
  <c r="O274" i="2" s="1"/>
  <c r="N276" i="2"/>
  <c r="O276" i="2" s="1"/>
  <c r="N277" i="2"/>
  <c r="O277" i="2" s="1"/>
  <c r="N278" i="2"/>
  <c r="O278" i="2" s="1"/>
  <c r="N287" i="2"/>
  <c r="O287" i="2" s="1"/>
  <c r="N288" i="2"/>
  <c r="O288" i="2" s="1"/>
  <c r="N289" i="2"/>
  <c r="O289" i="2" s="1"/>
  <c r="N290" i="2"/>
  <c r="O290" i="2" s="1"/>
  <c r="N47" i="2"/>
  <c r="O47" i="2" s="1"/>
  <c r="N31" i="2"/>
  <c r="O31" i="2" s="1"/>
  <c r="N295" i="2"/>
  <c r="O295" i="2" s="1"/>
  <c r="N292" i="2"/>
  <c r="O292" i="2" s="1"/>
  <c r="N293" i="2"/>
  <c r="O293" i="2" s="1"/>
  <c r="L25" i="2"/>
  <c r="L19" i="2"/>
  <c r="L13" i="2"/>
  <c r="L7" i="2"/>
  <c r="M25" i="2"/>
  <c r="M19" i="2"/>
  <c r="M7" i="2"/>
  <c r="N25" i="2"/>
  <c r="O25" i="2" s="1"/>
  <c r="N18" i="2"/>
  <c r="O18" i="2" s="1"/>
  <c r="N9" i="2"/>
  <c r="O9" i="2" s="1"/>
  <c r="N45" i="2"/>
  <c r="O45" i="2" s="1"/>
  <c r="N96" i="2"/>
  <c r="O96" i="2" s="1"/>
  <c r="N118" i="2"/>
  <c r="O118" i="2" s="1"/>
  <c r="N147" i="2"/>
  <c r="O147" i="2" s="1"/>
  <c r="N206" i="2"/>
  <c r="O206" i="2" s="1"/>
  <c r="N226" i="2"/>
  <c r="O226" i="2" s="1"/>
  <c r="N270" i="2"/>
  <c r="O270" i="2" s="1"/>
  <c r="N213" i="2"/>
  <c r="O213" i="2" s="1"/>
  <c r="N219" i="2"/>
  <c r="O219" i="2" s="1"/>
  <c r="N214" i="2"/>
  <c r="O214" i="2" s="1"/>
  <c r="N220" i="2"/>
  <c r="O220" i="2" s="1"/>
  <c r="N215" i="2"/>
  <c r="O215" i="2" s="1"/>
  <c r="N221" i="2"/>
  <c r="O221" i="2" s="1"/>
  <c r="N216" i="2"/>
  <c r="O216" i="2" s="1"/>
  <c r="N222" i="2"/>
  <c r="O222" i="2" s="1"/>
  <c r="N223" i="2"/>
  <c r="O223" i="2" s="1"/>
  <c r="N217" i="2"/>
  <c r="O217" i="2" s="1"/>
  <c r="N211" i="2"/>
  <c r="O211" i="2" s="1"/>
  <c r="N28" i="2"/>
  <c r="O28" i="2" s="1"/>
  <c r="N34" i="2"/>
  <c r="O34" i="2" s="1"/>
  <c r="N40" i="2"/>
  <c r="O40" i="2" s="1"/>
  <c r="N46" i="2"/>
  <c r="O46" i="2" s="1"/>
  <c r="N29" i="2"/>
  <c r="O29" i="2" s="1"/>
  <c r="N35" i="2"/>
  <c r="O35" i="2" s="1"/>
  <c r="N41" i="2"/>
  <c r="O41" i="2" s="1"/>
  <c r="N30" i="2"/>
  <c r="O30" i="2" s="1"/>
  <c r="N36" i="2"/>
  <c r="O36" i="2" s="1"/>
  <c r="N42" i="2"/>
  <c r="O42" i="2" s="1"/>
  <c r="N48" i="2"/>
  <c r="O48" i="2" s="1"/>
  <c r="N32" i="2"/>
  <c r="O32" i="2" s="1"/>
  <c r="N38" i="2"/>
  <c r="O38" i="2" s="1"/>
  <c r="N44" i="2"/>
  <c r="O44" i="2" s="1"/>
  <c r="N20" i="2"/>
  <c r="O20" i="2" s="1"/>
  <c r="N55" i="2"/>
  <c r="O55" i="2" s="1"/>
  <c r="N61" i="2"/>
  <c r="O61" i="2" s="1"/>
  <c r="N67" i="2"/>
  <c r="O67" i="2" s="1"/>
  <c r="N50" i="2"/>
  <c r="O50" i="2" s="1"/>
  <c r="N56" i="2"/>
  <c r="O56" i="2" s="1"/>
  <c r="N62" i="2"/>
  <c r="O62" i="2" s="1"/>
  <c r="N68" i="2"/>
  <c r="O68" i="2" s="1"/>
  <c r="N51" i="2"/>
  <c r="O51" i="2" s="1"/>
  <c r="N57" i="2"/>
  <c r="O57" i="2" s="1"/>
  <c r="N63" i="2"/>
  <c r="O63" i="2" s="1"/>
  <c r="N69" i="2"/>
  <c r="O69" i="2" s="1"/>
  <c r="N53" i="2"/>
  <c r="O53" i="2" s="1"/>
  <c r="N59" i="2"/>
  <c r="O59" i="2" s="1"/>
  <c r="N65" i="2"/>
  <c r="O65" i="2" s="1"/>
  <c r="N49" i="2"/>
  <c r="O49" i="2" s="1"/>
  <c r="N253" i="2"/>
  <c r="O253" i="2" s="1"/>
  <c r="N248" i="2"/>
  <c r="O248" i="2" s="1"/>
  <c r="N254" i="2"/>
  <c r="O254" i="2" s="1"/>
  <c r="N249" i="2"/>
  <c r="O249" i="2" s="1"/>
  <c r="N255" i="2"/>
  <c r="O255" i="2" s="1"/>
  <c r="N250" i="2"/>
  <c r="O250" i="2" s="1"/>
  <c r="N256" i="2"/>
  <c r="O256" i="2" s="1"/>
  <c r="N251" i="2"/>
  <c r="O251" i="2" s="1"/>
  <c r="N247" i="2"/>
  <c r="O247" i="2" s="1"/>
  <c r="N74" i="2"/>
  <c r="O74" i="2" s="1"/>
  <c r="N80" i="2"/>
  <c r="O80" i="2" s="1"/>
  <c r="N86" i="2"/>
  <c r="O86" i="2" s="1"/>
  <c r="N71" i="2"/>
  <c r="O71" i="2" s="1"/>
  <c r="N75" i="2"/>
  <c r="O75" i="2" s="1"/>
  <c r="N81" i="2"/>
  <c r="O81" i="2" s="1"/>
  <c r="N87" i="2"/>
  <c r="O87" i="2" s="1"/>
  <c r="N76" i="2"/>
  <c r="O76" i="2" s="1"/>
  <c r="N82" i="2"/>
  <c r="O82" i="2" s="1"/>
  <c r="N88" i="2"/>
  <c r="O88" i="2" s="1"/>
  <c r="N72" i="2"/>
  <c r="O72" i="2" s="1"/>
  <c r="N78" i="2"/>
  <c r="O78" i="2" s="1"/>
  <c r="N84" i="2"/>
  <c r="O84" i="2" s="1"/>
  <c r="N90" i="2"/>
  <c r="O90" i="2" s="1"/>
  <c r="N188" i="2"/>
  <c r="O188" i="2" s="1"/>
  <c r="N194" i="2"/>
  <c r="O194" i="2" s="1"/>
  <c r="N183" i="2"/>
  <c r="O183" i="2" s="1"/>
  <c r="N189" i="2"/>
  <c r="O189" i="2" s="1"/>
  <c r="N195" i="2"/>
  <c r="O195" i="2" s="1"/>
  <c r="N184" i="2"/>
  <c r="O184" i="2" s="1"/>
  <c r="N190" i="2"/>
  <c r="O190" i="2" s="1"/>
  <c r="N196" i="2"/>
  <c r="O196" i="2" s="1"/>
  <c r="N185" i="2"/>
  <c r="O185" i="2" s="1"/>
  <c r="N191" i="2"/>
  <c r="O191" i="2" s="1"/>
  <c r="N182" i="2"/>
  <c r="O182" i="2" s="1"/>
  <c r="N186" i="2"/>
  <c r="O186" i="2" s="1"/>
  <c r="N192" i="2"/>
  <c r="O192" i="2" s="1"/>
  <c r="N260" i="2"/>
  <c r="O260" i="2" s="1"/>
  <c r="N257" i="2"/>
  <c r="O257" i="2" s="1"/>
  <c r="N261" i="2"/>
  <c r="O261" i="2" s="1"/>
  <c r="N262" i="2"/>
  <c r="O262" i="2" s="1"/>
  <c r="N263" i="2"/>
  <c r="O263" i="2" s="1"/>
  <c r="N258" i="2"/>
  <c r="O258" i="2" s="1"/>
  <c r="N264" i="2"/>
  <c r="O264" i="2" s="1"/>
  <c r="N297" i="2"/>
  <c r="O297" i="2" s="1"/>
  <c r="N298" i="2"/>
  <c r="O298" i="2" s="1"/>
  <c r="N296" i="2"/>
  <c r="O296" i="2" s="1"/>
  <c r="L24" i="2"/>
  <c r="L18" i="2"/>
  <c r="L12" i="2"/>
  <c r="L6" i="2"/>
  <c r="M18" i="2"/>
  <c r="M12" i="2"/>
  <c r="M6" i="2"/>
  <c r="N24" i="2"/>
  <c r="O24" i="2" s="1"/>
  <c r="N16" i="2"/>
  <c r="O16" i="2" s="1"/>
  <c r="N8" i="2"/>
  <c r="O8" i="2" s="1"/>
  <c r="N43" i="2"/>
  <c r="O43" i="2" s="1"/>
  <c r="N70" i="2"/>
  <c r="O70" i="2" s="1"/>
  <c r="N52" i="2"/>
  <c r="O52" i="2" s="1"/>
  <c r="N77" i="2"/>
  <c r="O77" i="2" s="1"/>
  <c r="N145" i="2"/>
  <c r="O145" i="2" s="1"/>
  <c r="N279" i="2"/>
  <c r="O279" i="2" s="1"/>
  <c r="N113" i="2"/>
  <c r="O113" i="2" s="1"/>
  <c r="N119" i="2"/>
  <c r="O119" i="2" s="1"/>
  <c r="N125" i="2"/>
  <c r="O125" i="2" s="1"/>
  <c r="N126" i="2"/>
  <c r="O126" i="2" s="1"/>
  <c r="N114" i="2"/>
  <c r="O114" i="2" s="1"/>
  <c r="N120" i="2"/>
  <c r="O120" i="2" s="1"/>
  <c r="N112" i="2"/>
  <c r="O112" i="2" s="1"/>
  <c r="N127" i="2"/>
  <c r="O127" i="2" s="1"/>
  <c r="N115" i="2"/>
  <c r="O115" i="2" s="1"/>
  <c r="N121" i="2"/>
  <c r="O121" i="2" s="1"/>
  <c r="N129" i="2"/>
  <c r="O129" i="2" s="1"/>
  <c r="N117" i="2"/>
  <c r="O117" i="2" s="1"/>
  <c r="N123" i="2"/>
  <c r="O123" i="2" s="1"/>
  <c r="N154" i="2"/>
  <c r="O154" i="2" s="1"/>
  <c r="N160" i="2"/>
  <c r="O160" i="2" s="1"/>
  <c r="N149" i="2"/>
  <c r="O149" i="2" s="1"/>
  <c r="N155" i="2"/>
  <c r="O155" i="2" s="1"/>
  <c r="N161" i="2"/>
  <c r="O161" i="2" s="1"/>
  <c r="N150" i="2"/>
  <c r="O150" i="2" s="1"/>
  <c r="N156" i="2"/>
  <c r="O156" i="2" s="1"/>
  <c r="N162" i="2"/>
  <c r="O162" i="2" s="1"/>
  <c r="N151" i="2"/>
  <c r="O151" i="2" s="1"/>
  <c r="N157" i="2"/>
  <c r="O157" i="2" s="1"/>
  <c r="N163" i="2"/>
  <c r="O163" i="2" s="1"/>
  <c r="N152" i="2"/>
  <c r="O152" i="2" s="1"/>
  <c r="N158" i="2"/>
  <c r="O158" i="2" s="1"/>
  <c r="N164" i="2"/>
  <c r="O164" i="2" s="1"/>
  <c r="N238" i="2"/>
  <c r="O238" i="2" s="1"/>
  <c r="N244" i="2"/>
  <c r="O244" i="2" s="1"/>
  <c r="N239" i="2"/>
  <c r="O239" i="2" s="1"/>
  <c r="N245" i="2"/>
  <c r="O245" i="2" s="1"/>
  <c r="N240" i="2"/>
  <c r="O240" i="2" s="1"/>
  <c r="N246" i="2"/>
  <c r="O246" i="2" s="1"/>
  <c r="N241" i="2"/>
  <c r="O241" i="2" s="1"/>
  <c r="N236" i="2"/>
  <c r="O236" i="2" s="1"/>
  <c r="N242" i="2"/>
  <c r="O242" i="2" s="1"/>
  <c r="N2" i="2"/>
  <c r="O2" i="2" s="1"/>
  <c r="N100" i="2"/>
  <c r="O100" i="2" s="1"/>
  <c r="N122" i="2"/>
  <c r="O122" i="2" s="1"/>
  <c r="N159" i="2"/>
  <c r="O159" i="2" s="1"/>
  <c r="N169" i="2"/>
  <c r="O169" i="2" s="1"/>
  <c r="N175" i="2"/>
  <c r="O175" i="2" s="1"/>
  <c r="N181" i="2"/>
  <c r="O181" i="2" s="1"/>
  <c r="N170" i="2"/>
  <c r="O170" i="2" s="1"/>
  <c r="N176" i="2"/>
  <c r="O176" i="2" s="1"/>
  <c r="N166" i="2"/>
  <c r="O166" i="2" s="1"/>
  <c r="N171" i="2"/>
  <c r="O171" i="2" s="1"/>
  <c r="N177" i="2"/>
  <c r="O177" i="2" s="1"/>
  <c r="N172" i="2"/>
  <c r="O172" i="2" s="1"/>
  <c r="N178" i="2"/>
  <c r="O178" i="2" s="1"/>
  <c r="N167" i="2"/>
  <c r="O167" i="2" s="1"/>
  <c r="N173" i="2"/>
  <c r="O173" i="2" s="1"/>
  <c r="N179" i="2"/>
  <c r="O179" i="2" s="1"/>
  <c r="N106" i="2"/>
  <c r="O106" i="2" s="1"/>
  <c r="N97" i="2"/>
  <c r="O97" i="2" s="1"/>
  <c r="N103" i="2"/>
  <c r="O103" i="2" s="1"/>
  <c r="N107" i="2"/>
  <c r="O107" i="2" s="1"/>
  <c r="N98" i="2"/>
  <c r="O98" i="2" s="1"/>
  <c r="N104" i="2"/>
  <c r="O104" i="2" s="1"/>
  <c r="N110" i="2"/>
  <c r="O110" i="2" s="1"/>
  <c r="N93" i="2"/>
  <c r="O93" i="2" s="1"/>
  <c r="N99" i="2"/>
  <c r="O99" i="2" s="1"/>
  <c r="N105" i="2"/>
  <c r="O105" i="2" s="1"/>
  <c r="N108" i="2"/>
  <c r="O108" i="2" s="1"/>
  <c r="N95" i="2"/>
  <c r="O95" i="2" s="1"/>
  <c r="N101" i="2"/>
  <c r="O101" i="2" s="1"/>
  <c r="N208" i="2"/>
  <c r="O208" i="2" s="1"/>
  <c r="N201" i="2"/>
  <c r="O201" i="2" s="1"/>
  <c r="N197" i="2"/>
  <c r="O197" i="2" s="1"/>
  <c r="N209" i="2"/>
  <c r="O209" i="2" s="1"/>
  <c r="N202" i="2"/>
  <c r="O202" i="2" s="1"/>
  <c r="N210" i="2"/>
  <c r="O210" i="2" s="1"/>
  <c r="N203" i="2"/>
  <c r="O203" i="2" s="1"/>
  <c r="N198" i="2"/>
  <c r="O198" i="2" s="1"/>
  <c r="N204" i="2"/>
  <c r="O204" i="2" s="1"/>
  <c r="N199" i="2"/>
  <c r="O199" i="2" s="1"/>
  <c r="N205" i="2"/>
  <c r="O205" i="2" s="1"/>
  <c r="N271" i="2"/>
  <c r="O271" i="2" s="1"/>
  <c r="N272" i="2"/>
  <c r="O272" i="2" s="1"/>
  <c r="N267" i="2"/>
  <c r="O267" i="2" s="1"/>
  <c r="N273" i="2"/>
  <c r="O273" i="2" s="1"/>
  <c r="N268" i="2"/>
  <c r="O268" i="2" s="1"/>
  <c r="N266" i="2"/>
  <c r="O266" i="2" s="1"/>
  <c r="N269" i="2"/>
  <c r="O269" i="2" s="1"/>
  <c r="N299" i="2"/>
  <c r="O299" i="2" s="1"/>
  <c r="L23" i="2"/>
  <c r="L17" i="2"/>
  <c r="L11" i="2"/>
  <c r="L5" i="2"/>
  <c r="M23" i="2"/>
  <c r="M17" i="2"/>
  <c r="M11" i="2"/>
  <c r="M5" i="2"/>
  <c r="N23" i="2"/>
  <c r="O23" i="2" s="1"/>
  <c r="N15" i="2"/>
  <c r="O15" i="2" s="1"/>
  <c r="N6" i="2"/>
  <c r="O6" i="2" s="1"/>
  <c r="N39" i="2"/>
  <c r="O39" i="2" s="1"/>
  <c r="N66" i="2"/>
  <c r="O66" i="2" s="1"/>
  <c r="N91" i="2"/>
  <c r="O91" i="2" s="1"/>
  <c r="N73" i="2"/>
  <c r="O73" i="2" s="1"/>
  <c r="N109" i="2"/>
  <c r="O109" i="2" s="1"/>
  <c r="N130" i="2"/>
  <c r="O130" i="2" s="1"/>
  <c r="N141" i="2"/>
  <c r="O141" i="2" s="1"/>
  <c r="N174" i="2"/>
  <c r="O174" i="2" s="1"/>
  <c r="N207" i="2"/>
  <c r="O207" i="2" s="1"/>
  <c r="N237" i="2"/>
  <c r="O237" i="2" s="1"/>
  <c r="N286" i="2"/>
  <c r="O286" i="2" s="1"/>
  <c r="L2" i="2"/>
</calcChain>
</file>

<file path=xl/sharedStrings.xml><?xml version="1.0" encoding="utf-8"?>
<sst xmlns="http://schemas.openxmlformats.org/spreadsheetml/2006/main" count="96" uniqueCount="61">
  <si>
    <t>Player Name</t>
  </si>
  <si>
    <t>Date</t>
  </si>
  <si>
    <t xml:space="preserve">Participating? </t>
  </si>
  <si>
    <t>Yes</t>
  </si>
  <si>
    <t>Excluded Player</t>
  </si>
  <si>
    <t>vs.</t>
  </si>
  <si>
    <t>Player</t>
  </si>
  <si>
    <t>Fifth Player Count</t>
  </si>
  <si>
    <t>Excluded Count</t>
  </si>
  <si>
    <t>Image courtesy of amfroey at FreeDigitalPhotos.net</t>
  </si>
  <si>
    <t>Created by William Fehringer, freelancer at Upwork.com</t>
  </si>
  <si>
    <t>Matchup Count</t>
  </si>
  <si>
    <t xml:space="preserve">Partner Combinations </t>
  </si>
  <si>
    <t>No</t>
  </si>
  <si>
    <t>Player 1</t>
  </si>
  <si>
    <t>Player 2</t>
  </si>
  <si>
    <t>Player 3</t>
  </si>
  <si>
    <t>Player 4</t>
  </si>
  <si>
    <t>Player 5</t>
  </si>
  <si>
    <t>Match Number</t>
  </si>
  <si>
    <t>Fifth Player</t>
  </si>
  <si>
    <t>Rich Armbrust</t>
  </si>
  <si>
    <t>Charlie Blood</t>
  </si>
  <si>
    <t>Raul Brizuela</t>
  </si>
  <si>
    <t>Jack Christie</t>
  </si>
  <si>
    <t>Matt Dowling</t>
  </si>
  <si>
    <t>Joe Francavigilia</t>
  </si>
  <si>
    <t>David Gray</t>
  </si>
  <si>
    <t>Gregg Hauge</t>
  </si>
  <si>
    <t>John Kaltenmark</t>
  </si>
  <si>
    <t>Pat Keeley</t>
  </si>
  <si>
    <t>Jim Palazzo</t>
  </si>
  <si>
    <t>Jerry McDonnell</t>
  </si>
  <si>
    <t>Mark Podl</t>
  </si>
  <si>
    <t xml:space="preserve">Type in entries in columns A to F, then press button </t>
  </si>
  <si>
    <t>to manually log in new matches.</t>
  </si>
  <si>
    <t>Jordan Spieth</t>
  </si>
  <si>
    <t>Rory McIlroy</t>
  </si>
  <si>
    <t>Jason Day</t>
  </si>
  <si>
    <t>Bubba Watson</t>
  </si>
  <si>
    <t>Rickie Fowler</t>
  </si>
  <si>
    <t>Adam Scott</t>
  </si>
  <si>
    <t>Henrik Stenson</t>
  </si>
  <si>
    <t>Justin Rose</t>
  </si>
  <si>
    <t>Dustin Johnson</t>
  </si>
  <si>
    <t>Patrick Reed</t>
  </si>
  <si>
    <t>Danny Willett</t>
  </si>
  <si>
    <t>Branden Grace</t>
  </si>
  <si>
    <t>Sergio Garcia</t>
  </si>
  <si>
    <t>Hideki Matsuyama</t>
  </si>
  <si>
    <t>Jim Furyk</t>
  </si>
  <si>
    <t>Brandt Snedeker</t>
  </si>
  <si>
    <t>Phil Mickelson</t>
  </si>
  <si>
    <t>Louis Oosthuizen</t>
  </si>
  <si>
    <t>Brooks Koepka</t>
  </si>
  <si>
    <t>Zach Johnson</t>
  </si>
  <si>
    <t>Kevin Kisner</t>
  </si>
  <si>
    <t>Jimmy Walker</t>
  </si>
  <si>
    <t>J.B. Holmes</t>
  </si>
  <si>
    <t>Shane Lowry</t>
  </si>
  <si>
    <t>Paul Casey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</si>
</sst>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rgb="FF3A3A3A"/>
      <name val="Arial"/>
      <family val="2"/>
    </font>
    <font>
      <b/>
      <sz val="12"/>
      <color theme="1"/>
      <name val="Arial"/>
      <family val="2"/>
    </font>
    <font>
      <sz val="12"/>
      <color rgb="FF33333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rgb="FFB2B2B2"/>
      </left>
      <right/>
      <top style="thin">
        <color rgb="FFB2B2B2"/>
      </top>
      <bottom style="medium">
        <color indexed="64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</borders>
  <cellStyleXfs count="4">
    <xf numFmtId="0" fontId="0" fillId="0" borderId="0"/>
    <xf numFmtId="0" fontId="1" fillId="2" borderId="1" applyNumberFormat="0" applyFont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</cellStyleXfs>
  <cellXfs count="29">
    <xf numFmtId="0" fontId="0" fillId="0" borderId="0" xfId="0"/>
    <xf numFmtId="14" fontId="0" fillId="0" borderId="0" xfId="0" applyNumberFormat="1"/>
    <xf numFmtId="0" fontId="0" fillId="2" borderId="1" xfId="1" applyFont="1"/>
    <xf numFmtId="0" fontId="0" fillId="0" borderId="0" xfId="0" applyAlignment="1">
      <alignment horizontal="center"/>
    </xf>
    <xf numFmtId="0" fontId="0" fillId="2" borderId="2" xfId="1" applyFont="1" applyBorder="1"/>
    <xf numFmtId="0" fontId="5" fillId="0" borderId="3" xfId="0" applyFont="1" applyBorder="1"/>
    <xf numFmtId="0" fontId="5" fillId="2" borderId="4" xfId="1" applyFont="1" applyBorder="1"/>
    <xf numFmtId="0" fontId="3" fillId="3" borderId="1" xfId="2" applyBorder="1"/>
    <xf numFmtId="0" fontId="6" fillId="3" borderId="1" xfId="2" applyFont="1" applyBorder="1"/>
    <xf numFmtId="0" fontId="6" fillId="3" borderId="2" xfId="2" applyFont="1" applyBorder="1"/>
    <xf numFmtId="0" fontId="7" fillId="3" borderId="3" xfId="2" applyFont="1" applyBorder="1"/>
    <xf numFmtId="0" fontId="4" fillId="4" borderId="2" xfId="3" applyBorder="1"/>
    <xf numFmtId="0" fontId="3" fillId="3" borderId="2" xfId="2" applyBorder="1"/>
    <xf numFmtId="0" fontId="7" fillId="3" borderId="4" xfId="2" applyFont="1" applyBorder="1"/>
    <xf numFmtId="0" fontId="7" fillId="4" borderId="4" xfId="3" applyFont="1" applyBorder="1"/>
    <xf numFmtId="0" fontId="0" fillId="6" borderId="0" xfId="0" applyFill="1"/>
    <xf numFmtId="0" fontId="0" fillId="6" borderId="0" xfId="0" applyFill="1" applyAlignment="1">
      <alignment horizontal="centerContinuous"/>
    </xf>
    <xf numFmtId="0" fontId="8" fillId="6" borderId="0" xfId="0" applyFont="1" applyFill="1" applyAlignment="1">
      <alignment horizontal="centerContinuous"/>
    </xf>
    <xf numFmtId="0" fontId="9" fillId="6" borderId="0" xfId="0" applyFont="1" applyFill="1" applyAlignment="1">
      <alignment horizontal="centerContinuous"/>
    </xf>
    <xf numFmtId="0" fontId="7" fillId="4" borderId="6" xfId="3" applyFont="1" applyBorder="1"/>
    <xf numFmtId="0" fontId="4" fillId="4" borderId="7" xfId="3" applyBorder="1"/>
    <xf numFmtId="0" fontId="0" fillId="5" borderId="5" xfId="0" applyFill="1" applyBorder="1"/>
    <xf numFmtId="0" fontId="0" fillId="5" borderId="9" xfId="0" applyFill="1" applyBorder="1"/>
    <xf numFmtId="0" fontId="5" fillId="5" borderId="8" xfId="0" applyFont="1" applyFill="1" applyBorder="1"/>
    <xf numFmtId="0" fontId="0" fillId="5" borderId="10" xfId="0" applyFill="1" applyBorder="1"/>
    <xf numFmtId="0" fontId="0" fillId="0" borderId="0" xfId="0" applyFont="1" applyBorder="1"/>
    <xf numFmtId="0" fontId="5" fillId="0" borderId="3" xfId="0" applyFont="1" applyBorder="1" applyAlignment="1">
      <alignment horizontal="center"/>
    </xf>
    <xf numFmtId="0" fontId="5" fillId="0" borderId="3" xfId="0" applyFont="1" applyBorder="1" applyAlignment="1">
      <alignment horizontal="center" wrapText="1"/>
    </xf>
    <xf numFmtId="0" fontId="10" fillId="0" borderId="0" xfId="0" applyFont="1" applyBorder="1"/>
  </cellXfs>
  <cellStyles count="4">
    <cellStyle name="Bad" xfId="3" builtinId="27"/>
    <cellStyle name="Good" xfId="2" builtinId="26"/>
    <cellStyle name="Normal" xfId="0" builtinId="0"/>
    <cellStyle name="Note" xfId="1" builtinId="1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microsoft.com/office/2007/relationships/hdphoto" Target="../media/hdphoto1.wdp"/><Relationship Id="rId7" Type="http://schemas.openxmlformats.org/officeDocument/2006/relationships/customXml" Target="../ink/ink2.xml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4.png"/><Relationship Id="rId4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1</xdr:row>
      <xdr:rowOff>66675</xdr:rowOff>
    </xdr:from>
    <xdr:to>
      <xdr:col>14</xdr:col>
      <xdr:colOff>180975</xdr:colOff>
      <xdr:row>31</xdr:row>
      <xdr:rowOff>170117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266700"/>
          <a:ext cx="9248775" cy="6104192"/>
        </a:xfrm>
        <a:prstGeom prst="rect">
          <a:avLst/>
        </a:prstGeom>
        <a:effectLst>
          <a:glow rad="127000">
            <a:schemeClr val="accent5">
              <a:lumMod val="40000"/>
              <a:lumOff val="60000"/>
            </a:schemeClr>
          </a:glow>
          <a:softEdge rad="5080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22</xdr:row>
          <xdr:rowOff>95250</xdr:rowOff>
        </xdr:from>
        <xdr:to>
          <xdr:col>9</xdr:col>
          <xdr:colOff>28575</xdr:colOff>
          <xdr:row>25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Generate New Pairings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666750</xdr:colOff>
      <xdr:row>7</xdr:row>
      <xdr:rowOff>57150</xdr:rowOff>
    </xdr:from>
    <xdr:to>
      <xdr:col>12</xdr:col>
      <xdr:colOff>600075</xdr:colOff>
      <xdr:row>10</xdr:row>
      <xdr:rowOff>57428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091" b="100000" l="274" r="100000">
                      <a14:foregroundMark x1="87500" y1="95455" x2="87500" y2="84091"/>
                      <a14:foregroundMark x1="3102" y1="27273" x2="3376" y2="27273"/>
                      <a14:foregroundMark x1="3376" y1="34091" x2="3650" y2="35227"/>
                      <a14:foregroundMark x1="16515" y1="30682" x2="17062" y2="30682"/>
                      <a14:foregroundMark x1="24453" y1="34091" x2="25000" y2="35227"/>
                      <a14:foregroundMark x1="38412" y1="38636" x2="38686" y2="37500"/>
                      <a14:foregroundMark x1="41515" y1="34091" x2="41880" y2="35227"/>
                      <a14:foregroundMark x1="99270" y1="95455" x2="99270" y2="95455"/>
                      <a14:foregroundMark x1="88321" y1="90909" x2="88321" y2="90909"/>
                      <a14:foregroundMark x1="89142" y1="90909" x2="89142" y2="90909"/>
                      <a14:foregroundMark x1="89964" y1="90909" x2="89964" y2="90909"/>
                      <a14:foregroundMark x1="91058" y1="90909" x2="91058" y2="90909"/>
                      <a14:foregroundMark x1="91788" y1="89773" x2="91788" y2="89773"/>
                      <a14:foregroundMark x1="94161" y1="92045" x2="94161" y2="92045"/>
                      <a14:foregroundMark x1="95164" y1="90909" x2="95164" y2="90909"/>
                      <a14:foregroundMark x1="95985" y1="88636" x2="95985" y2="88636"/>
                      <a14:foregroundMark x1="96533" y1="92045" x2="96533" y2="92045"/>
                      <a14:foregroundMark x1="97080" y1="92045" x2="97080" y2="92045"/>
                      <a14:foregroundMark x1="97901" y1="92045" x2="98084" y2="92045"/>
                      <a14:foregroundMark x1="98996" y1="88636" x2="98996" y2="88636"/>
                      <a14:foregroundMark x1="93431" y1="90909" x2="93431" y2="90909"/>
                      <a14:foregroundMark x1="93431" y1="86364" x2="93431" y2="86364"/>
                      <a14:backgroundMark x1="19799" y1="30682" x2="19526" y2="62500"/>
                      <a14:backgroundMark x1="19617" y1="63636" x2="16606" y2="62500"/>
                      <a14:backgroundMark x1="16606" y1="62500" x2="16606" y2="82955"/>
                      <a14:backgroundMark x1="15328" y1="86364" x2="10310" y2="81818"/>
                      <a14:backgroundMark x1="10128" y1="81818" x2="9854" y2="75000"/>
                      <a14:backgroundMark x1="8942" y1="85227" x2="5474" y2="84091"/>
                      <a14:backgroundMark x1="5474" y1="84091" x2="639" y2="80682"/>
                      <a14:backgroundMark x1="24179" y1="79545" x2="24361" y2="67045"/>
                      <a14:backgroundMark x1="28376" y1="80682" x2="28832" y2="64773"/>
                      <a14:backgroundMark x1="31204" y1="82955" x2="31204" y2="82955"/>
                      <a14:backgroundMark x1="31296" y1="84091" x2="34763" y2="80682"/>
                      <a14:backgroundMark x1="35036" y1="82955" x2="35036" y2="71591"/>
                      <a14:backgroundMark x1="36679" y1="84091" x2="40876" y2="82955"/>
                      <a14:backgroundMark x1="43796" y1="82955" x2="53650" y2="79545"/>
                      <a14:backgroundMark x1="41423" y1="69318" x2="41515" y2="48864"/>
                      <a14:backgroundMark x1="53923" y1="80682" x2="54288" y2="61364"/>
                      <a14:backgroundMark x1="54380" y1="59091" x2="53285" y2="47727"/>
                      <a14:backgroundMark x1="54562" y1="43182" x2="54562" y2="30682"/>
                      <a14:backgroundMark x1="56569" y1="36364" x2="56569" y2="27273"/>
                      <a14:backgroundMark x1="58303" y1="80682" x2="68157" y2="80682"/>
                      <a14:backgroundMark x1="68248" y1="79545" x2="68248" y2="45455"/>
                      <a14:backgroundMark x1="70164" y1="84091" x2="77555" y2="84091"/>
                      <a14:backgroundMark x1="77737" y1="82955" x2="77828" y2="67045"/>
                      <a14:backgroundMark x1="79745" y1="84091" x2="82208" y2="82955"/>
                      <a14:backgroundMark x1="82573" y1="84091" x2="83029" y2="67045"/>
                      <a14:backgroundMark x1="99270" y1="80682" x2="99270" y2="68182"/>
                      <a14:backgroundMark x1="99270" y1="65909" x2="98631" y2="63636"/>
                      <a14:backgroundMark x1="99088" y1="59091" x2="99453" y2="45455"/>
                      <a14:backgroundMark x1="99361" y1="39773" x2="99453" y2="31818"/>
                      <a14:backgroundMark x1="99726" y1="85227" x2="99635" y2="95455"/>
                      <a14:backgroundMark x1="87135" y1="80682" x2="84854" y2="80682"/>
                      <a14:backgroundMark x1="88230" y1="78409" x2="88230" y2="45455"/>
                      <a14:backgroundMark x1="88412" y1="47727" x2="89234" y2="47727"/>
                      <a14:backgroundMark x1="89416" y1="70455" x2="89599" y2="78409"/>
                      <a14:backgroundMark x1="89690" y1="77273" x2="89690" y2="77273"/>
                      <a14:backgroundMark x1="96168" y1="78409" x2="97354" y2="79545"/>
                      <a14:backgroundMark x1="92427" y1="60227" x2="91332" y2="57955"/>
                      <a14:backgroundMark x1="91423" y1="55682" x2="91515" y2="47727"/>
                      <a14:backgroundMark x1="3285" y1="46591" x2="2281" y2="45455"/>
                      <a14:backgroundMark x1="7299" y1="50000" x2="7938" y2="50000"/>
                      <a14:backgroundMark x1="46259" y1="47727" x2="46168" y2="51136"/>
                      <a14:backgroundMark x1="46168" y1="56818" x2="47080" y2="56818"/>
                      <a14:backgroundMark x1="49179" y1="54545" x2="50091" y2="57955"/>
                      <a14:backgroundMark x1="52555" y1="45455" x2="52464" y2="45455"/>
                      <a14:backgroundMark x1="59033" y1="52273" x2="59489" y2="52273"/>
                      <a14:backgroundMark x1="58942" y1="48864" x2="59580" y2="48864"/>
                      <a14:backgroundMark x1="97536" y1="80682" x2="98358" y2="80682"/>
                      <a14:backgroundMark x1="94343" y1="79545" x2="95529" y2="80682"/>
                      <a14:backgroundMark x1="85675" y1="76136" x2="85493" y2="67045"/>
                      <a14:backgroundMark x1="85493" y1="64773" x2="85219" y2="52273"/>
                      <a14:backgroundMark x1="85219" y1="52273" x2="85036" y2="45455"/>
                      <a14:backgroundMark x1="81022" y1="30682" x2="81022" y2="42045"/>
                      <a14:backgroundMark x1="81569" y1="28409" x2="82117" y2="23864"/>
                      <a14:backgroundMark x1="82755" y1="21591" x2="83850" y2="22727"/>
                      <a14:backgroundMark x1="84307" y1="25000" x2="84580" y2="31818"/>
                      <a14:backgroundMark x1="85036" y1="23864" x2="86861" y2="22727"/>
                      <a14:backgroundMark x1="57117" y1="28409" x2="57755" y2="22727"/>
                      <a14:backgroundMark x1="59033" y1="22727" x2="59215" y2="22727"/>
                      <a14:backgroundMark x1="60219" y1="22727" x2="60584" y2="22727"/>
                      <a14:backgroundMark x1="53102" y1="20455" x2="52372" y2="21591"/>
                      <a14:backgroundMark x1="51369" y1="21591" x2="50456" y2="21591"/>
                      <a14:backgroundMark x1="48814" y1="23864" x2="48540" y2="22727"/>
                      <a14:backgroundMark x1="47810" y1="22727" x2="46898" y2="21591"/>
                      <a14:backgroundMark x1="45803" y1="22727" x2="45255" y2="22727"/>
                      <a14:backgroundMark x1="44434" y1="26136" x2="44434" y2="26136"/>
                      <a14:backgroundMark x1="43522" y1="23864" x2="43157" y2="22727"/>
                      <a14:backgroundMark x1="42153" y1="23864" x2="41788" y2="22727"/>
                      <a14:backgroundMark x1="40602" y1="23864" x2="40328" y2="25000"/>
                      <a14:backgroundMark x1="34854" y1="22727" x2="35036" y2="21591"/>
                      <a14:backgroundMark x1="35949" y1="23864" x2="36223" y2="23864"/>
                      <a14:backgroundMark x1="37044" y1="25000" x2="37226" y2="25000"/>
                      <a14:backgroundMark x1="2828" y1="56818" x2="2828" y2="56818"/>
                      <a14:backgroundMark x1="5474" y1="26136" x2="5748" y2="25000"/>
                      <a14:backgroundMark x1="2646" y1="22727" x2="2646" y2="22727"/>
                      <a14:backgroundMark x1="1551" y1="23864" x2="1095" y2="22727"/>
                      <a14:backgroundMark x1="4106" y1="22727" x2="4197" y2="22727"/>
                      <a14:backgroundMark x1="38504" y1="22727" x2="38686" y2="22727"/>
                      <a14:backgroundMark x1="90602" y1="82955" x2="90876" y2="82955"/>
                      <a14:backgroundMark x1="91788" y1="82955" x2="91971" y2="82955"/>
                      <a14:backgroundMark x1="92701" y1="84091" x2="93066" y2="82955"/>
                      <a14:backgroundMark x1="93978" y1="81818" x2="93978" y2="81818"/>
                      <a14:backgroundMark x1="73449" y1="22727" x2="73540" y2="22727"/>
                    </a14:backgroundRemoval>
                  </a14:imgEffect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2550" y="1457325"/>
          <a:ext cx="7477125" cy="600353"/>
        </a:xfrm>
        <a:prstGeom prst="rect">
          <a:avLst/>
        </a:prstGeom>
      </xdr:spPr>
    </xdr:pic>
    <xdr:clientData/>
  </xdr:twoCellAnchor>
  <xdr:twoCellAnchor>
    <xdr:from>
      <xdr:col>3</xdr:col>
      <xdr:colOff>529690</xdr:colOff>
      <xdr:row>8</xdr:row>
      <xdr:rowOff>115733</xdr:rowOff>
    </xdr:from>
    <xdr:to>
      <xdr:col>4</xdr:col>
      <xdr:colOff>52733</xdr:colOff>
      <xdr:row>8</xdr:row>
      <xdr:rowOff>116093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6" name="Ink 15"/>
            <xdr14:cNvContentPartPr/>
          </xdr14:nvContentPartPr>
          <xdr14:nvPr macro=""/>
          <xdr14:xfrm>
            <a:off x="2593440" y="1724400"/>
            <a:ext cx="210960" cy="360"/>
          </xdr14:xfrm>
        </xdr:contentPart>
      </mc:Choice>
      <mc:Fallback xmlns="">
        <xdr:pic>
          <xdr:nvPicPr>
            <xdr:cNvPr id="16" name="Ink 15"/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585074" y="1716120"/>
              <a:ext cx="227691" cy="1692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8</xdr:col>
      <xdr:colOff>610977</xdr:colOff>
      <xdr:row>8</xdr:row>
      <xdr:rowOff>117749</xdr:rowOff>
    </xdr:from>
    <xdr:to>
      <xdr:col>10</xdr:col>
      <xdr:colOff>163151</xdr:colOff>
      <xdr:row>8</xdr:row>
      <xdr:rowOff>118109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0" name="Ink 29"/>
            <xdr14:cNvContentPartPr/>
          </xdr14:nvContentPartPr>
          <xdr14:nvPr macro=""/>
          <xdr14:xfrm>
            <a:off x="6090120" y="1714320"/>
            <a:ext cx="921960" cy="360"/>
          </xdr14:xfrm>
        </xdr:contentPart>
      </mc:Choice>
      <mc:Fallback xmlns="">
        <xdr:pic>
          <xdr:nvPicPr>
            <xdr:cNvPr id="30" name="Ink 29"/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081856" y="1706040"/>
              <a:ext cx="938488" cy="169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704850</xdr:colOff>
          <xdr:row>27</xdr:row>
          <xdr:rowOff>66675</xdr:rowOff>
        </xdr:from>
        <xdr:to>
          <xdr:col>11</xdr:col>
          <xdr:colOff>914400</xdr:colOff>
          <xdr:row>29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Match Manually</a:t>
              </a:r>
            </a:p>
          </xdr:txBody>
        </xdr:sp>
        <xdr:clientData fPrintsWithSheet="0"/>
      </xdr:twoCellAnchor>
    </mc:Choice>
    <mc:Fallback/>
  </mc:AlternateContent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6-03-14T01:09:27.838"/>
    </inkml:context>
    <inkml:brush xml:id="br0">
      <inkml:brushProperty name="width" value="0.04667" units="cm"/>
      <inkml:brushProperty name="height" value="0.04667" units="cm"/>
      <inkml:brushProperty name="ignorePressure" value="1"/>
    </inkml:brush>
  </inkml:definitions>
  <inkml:traceGroup>
    <inkml:annotationXML>
      <emma:emma xmlns:emma="http://www.w3.org/2003/04/emma" version="1.0">
        <emma:interpretation id="{C2F880B1-CAD6-4D86-939B-D9FCE8F9F605}" emma:medium="tactile" emma:mode="ink">
          <msink:context xmlns:msink="http://schemas.microsoft.com/ink/2010/main" type="writingRegion" rotatedBoundingBox="7204,4790 7804,4790 7804,4805 7204,4805"/>
        </emma:interpretation>
      </emma:emma>
    </inkml:annotationXML>
    <inkml:traceGroup>
      <inkml:annotationXML>
        <emma:emma xmlns:emma="http://www.w3.org/2003/04/emma" version="1.0">
          <emma:interpretation id="{E99DF1E4-D016-47E0-A758-9D675A636ED4}" emma:medium="tactile" emma:mode="ink">
            <msink:context xmlns:msink="http://schemas.microsoft.com/ink/2010/main" type="paragraph" rotatedBoundingBox="7204,4790 7804,4790 7804,4805 7204,4805" alignmentLevel="1"/>
          </emma:interpretation>
        </emma:emma>
      </inkml:annotationXML>
      <inkml:traceGroup>
        <inkml:annotationXML>
          <emma:emma xmlns:emma="http://www.w3.org/2003/04/emma" version="1.0">
            <emma:interpretation id="{FFC6F020-340B-48A4-BD44-ED57775E291A}" emma:medium="tactile" emma:mode="ink">
              <msink:context xmlns:msink="http://schemas.microsoft.com/ink/2010/main" type="line" rotatedBoundingBox="7204,4790 7804,4790 7804,4805 7204,4805"/>
            </emma:interpretation>
          </emma:emma>
        </inkml:annotationXML>
        <inkml:traceGroup>
          <inkml:annotationXML>
            <emma:emma xmlns:emma="http://www.w3.org/2003/04/emma" version="1.0">
              <emma:interpretation id="{EFA1C46B-D70A-4A3B-A3C3-C1C9FDE524B9}" emma:medium="tactile" emma:mode="ink">
                <msink:context xmlns:msink="http://schemas.microsoft.com/ink/2010/main" type="inkWord" rotatedBoundingBox="7204,4790 7804,4790 7804,4805 7204,4805"/>
              </emma:interpretation>
              <emma:one-of disjunction-type="recognition" id="oneOf0">
                <emma:interpretation id="interp0" emma:lang="en-US" emma:confidence="0">
                  <emma:literal>..</emma:literal>
                </emma:interpretation>
                <emma:interpretation id="interp1" emma:lang="en-US" emma:confidence="0">
                  <emma:literal>...</emma:literal>
                </emma:interpretation>
                <emma:interpretation id="interp2" emma:lang="en-US" emma:confidence="0">
                  <emma:literal>t</emma:literal>
                </emma:interpretation>
                <emma:interpretation id="interp3" emma:lang="en-US" emma:confidence="0">
                  <emma:literal>÷</emma:literal>
                </emma:interpretation>
                <emma:interpretation id="interp4" emma:lang="en-US" emma:confidence="0">
                  <emma:literal>&amp;</emma:literal>
                </emma:interpretation>
              </emma:one-of>
            </emma:emma>
          </inkml:annotationXML>
          <inkml:trace contextRef="#ctx0" brushRef="#br0">575 1 16384,'-2'0'0,"-4"0"0,-3 0 0,-2 0 0,-3 0 0,-2 0 0,3 0 0,0 0 0,1 0 0,0 0 0,-2 0 0,-1 0 0,0 0 0,1 0 0,-3 0 0,3 0 0,-1 0 0,-1 0 0,0 0 0,2 0 0,-2 0 0,2 0 0,-3 0 0,2 0 0,1 0 0,-1 0 0,-1 0 0,0 0 0,2 0 0,-2 0 0,1 0 0,0 0 0,-1 0 0,2 0 0,-2 0 0,1 0 0,0 0 0,0 0 0,-2 0 0,5 0 0</inkml:trace>
          <inkml:trace contextRef="#ctx0" brushRef="#br0" timeOffset="7824">592 1 16384,'0'0'0</inkml:trace>
          <inkml:trace contextRef="#ctx0" brushRef="#br0" timeOffset="11465">606 1 16384</inkml:trace>
        </inkml:traceGroup>
      </inkml:traceGroup>
    </inkml:traceGroup>
  </inkml:traceGroup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6-03-14T01:12:49.583"/>
    </inkml:context>
    <inkml:brush xml:id="br0">
      <inkml:brushProperty name="width" value="0.04667" units="cm"/>
      <inkml:brushProperty name="height" value="0.04667" units="cm"/>
      <inkml:brushProperty name="ignorePressure" value="1"/>
    </inkml:brush>
  </inkml:definitions>
  <inkml:traceGroup>
    <inkml:annotationXML>
      <emma:emma xmlns:emma="http://www.w3.org/2003/04/emma" version="1.0">
        <emma:interpretation id="{82E63AFF-103C-4F1D-888D-24CF7C237A1C}" emma:medium="tactile" emma:mode="ink">
          <msink:context xmlns:msink="http://schemas.microsoft.com/ink/2010/main" type="writingRegion" rotatedBoundingBox="16917,4762 19477,4762 19477,4763 16917,4763"/>
        </emma:interpretation>
      </emma:emma>
    </inkml:annotationXML>
    <inkml:traceGroup>
      <inkml:annotationXML>
        <emma:emma xmlns:emma="http://www.w3.org/2003/04/emma" version="1.0">
          <emma:interpretation id="{184883CE-39BF-4ED0-BB0E-B0D64255AACB}" emma:medium="tactile" emma:mode="ink">
            <msink:context xmlns:msink="http://schemas.microsoft.com/ink/2010/main" type="paragraph" rotatedBoundingBox="16917,4762 19477,4762 19477,4763 16917,4763" alignmentLevel="1"/>
          </emma:interpretation>
        </emma:emma>
      </inkml:annotationXML>
      <inkml:traceGroup>
        <inkml:annotationXML>
          <emma:emma xmlns:emma="http://www.w3.org/2003/04/emma" version="1.0">
            <emma:interpretation id="{95C3D0E7-CE49-4B8A-87E5-008FE430F55B}" emma:medium="tactile" emma:mode="ink">
              <msink:context xmlns:msink="http://schemas.microsoft.com/ink/2010/main" type="line" rotatedBoundingBox="16917,4762 19477,4762 19477,4763 16917,4763"/>
            </emma:interpretation>
          </emma:emma>
        </inkml:annotationXML>
        <inkml:traceGroup>
          <inkml:annotationXML>
            <emma:emma xmlns:emma="http://www.w3.org/2003/04/emma" version="1.0">
              <emma:interpretation id="{829349FB-A20C-47B4-90DC-F966338BD25F}" emma:medium="tactile" emma:mode="ink">
                <msink:context xmlns:msink="http://schemas.microsoft.com/ink/2010/main" type="inkWord" rotatedBoundingBox="18895,4762 19477,4762 19477,4763 18895,4763"/>
              </emma:interpretation>
            </emma:emma>
          </inkml:annotationXML>
          <inkml:trace contextRef="#ctx0" brushRef="#br0">2603-6 16384,'-2'0'0,"-3"0"0,-2 0 0,-3 0 0,-1 0 0,-1 0 0,-4 0 0,3 0 0,0 0 0,0 0 0,0 0 0,0 0 0,0 0 0,0 0 0,1 0 0,-3 0 0,3 0 0,0 0 0,-1 0 0,0 0 0,1 0 0,-2 0 0,2 0 0,-1 0 0,-1 0 0,2 0 0,-1 0 0,1 0 0,-2 0 0,1 0 0,1 0 0,-1 0 0,1 0 0,-2 0 0,1 0 0,1 0 0,-2 0 0,2 0 0,-1 0 0,0 0 0,1 0 0,-1 0 0,-1 0 0,2 0 0,-2 0 0,2 0 0,0 0 0,0 0 0</inkml:trace>
        </inkml:traceGroup>
        <inkml:traceGroup>
          <inkml:annotationXML>
            <emma:emma xmlns:emma="http://www.w3.org/2003/04/emma" version="1.0">
              <emma:interpretation id="{174D4F55-DEF4-4948-A420-F82554A4950F}" emma:medium="tactile" emma:mode="ink">
                <msink:context xmlns:msink="http://schemas.microsoft.com/ink/2010/main" type="inkWord" rotatedBoundingBox="16917,4762 17499,4762 17499,4763 16917,4763"/>
              </emma:interpretation>
              <emma:one-of disjunction-type="recognition" id="oneOf0">
                <emma:interpretation id="interp0" emma:lang="en-US" emma:confidence="0">
                  <emma:literal>-</emma:literal>
                </emma:interpretation>
                <emma:interpretation id="interp1" emma:lang="en-US" emma:confidence="0">
                  <emma:literal>_</emma:literal>
                </emma:interpretation>
                <emma:interpretation id="interp2" emma:lang="en-US" emma:confidence="0">
                  <emma:literal>•</emma:literal>
                </emma:interpretation>
                <emma:interpretation id="interp3" emma:lang="en-US" emma:confidence="0">
                  <emma:literal>.</emma:literal>
                </emma:interpretation>
                <emma:interpretation id="interp4" emma:lang="en-US" emma:confidence="0">
                  <emma:literal>(</emma:literal>
                </emma:interpretation>
              </emma:one-of>
            </emma:emma>
          </inkml:annotationXML>
          <inkml:trace contextRef="#ctx0" brushRef="#br0" timeOffset="-79277">601-6 16384,'-2'0'0,"-2"0"0,-4 0 0,-2 0 0,-2 0 0,-2 0 0,1 0 0,-1 0 0,1 0 0,0 0 0,0 0 0,-1 0 0,1 0 0,0 0 0,-1 0 0,2 0 0,-1 0 0,0 0 0,-1 0 0,2 0 0,-1 0 0,-1 0 0,2 0 0,-1 0 0,-1 0 0,2 0 0,-1 0 0,0 0 0,-1 0 0,1 0 0,1 0 0,-1 0 0,-1 0 0,2 0 0,-1 0 0,-1 0 0,2 0 0,-2 0 0,1 0 0,0 0 0,1 0 0,-1 0 0,-1 0 0,1 0 0,1 0 0,0 0 0,2 0 0,2 0 0</inkml:trace>
        </inkml:traceGroup>
      </inkml:traceGroup>
    </inkml:traceGroup>
  </inkml:traceGroup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shboard"/>
  <dimension ref="B32:N35"/>
  <sheetViews>
    <sheetView tabSelected="1" zoomScale="80" zoomScaleNormal="80" workbookViewId="0">
      <selection activeCell="T18" sqref="T18"/>
    </sheetView>
  </sheetViews>
  <sheetFormatPr defaultRowHeight="15.75" x14ac:dyDescent="0.25"/>
  <cols>
    <col min="1" max="16384" width="9" style="15"/>
  </cols>
  <sheetData>
    <row r="32" spans="2:14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</row>
    <row r="33" spans="2:14" ht="22.5" customHeight="1" x14ac:dyDescent="0.25">
      <c r="B33" s="18" t="s">
        <v>10</v>
      </c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</row>
    <row r="34" spans="2:14" x14ac:dyDescent="0.25">
      <c r="B34" s="17" t="s">
        <v>9</v>
      </c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</row>
    <row r="35" spans="2:14" x14ac:dyDescent="0.25"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ParticipantsList">
                <anchor moveWithCells="1" sizeWithCells="1">
                  <from>
                    <xdr:col>5</xdr:col>
                    <xdr:colOff>333375</xdr:colOff>
                    <xdr:row>22</xdr:row>
                    <xdr:rowOff>95250</xdr:rowOff>
                  </from>
                  <to>
                    <xdr:col>9</xdr:col>
                    <xdr:colOff>28575</xdr:colOff>
                    <xdr:row>25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Participants"/>
  <dimension ref="A1:B26"/>
  <sheetViews>
    <sheetView workbookViewId="0">
      <selection activeCell="E13" sqref="E13"/>
    </sheetView>
  </sheetViews>
  <sheetFormatPr defaultColWidth="11" defaultRowHeight="15.75" x14ac:dyDescent="0.25"/>
  <cols>
    <col min="1" max="1" width="41.5" customWidth="1"/>
    <col min="2" max="2" width="13.625" customWidth="1"/>
  </cols>
  <sheetData>
    <row r="1" spans="1:2" ht="16.5" thickBot="1" x14ac:dyDescent="0.3">
      <c r="A1" s="10" t="s">
        <v>0</v>
      </c>
      <c r="B1" s="6" t="s">
        <v>2</v>
      </c>
    </row>
    <row r="2" spans="1:2" x14ac:dyDescent="0.25">
      <c r="A2" s="9" t="s">
        <v>36</v>
      </c>
      <c r="B2" s="4" t="s">
        <v>3</v>
      </c>
    </row>
    <row r="3" spans="1:2" x14ac:dyDescent="0.25">
      <c r="A3" s="8" t="s">
        <v>37</v>
      </c>
      <c r="B3" s="2" t="s">
        <v>3</v>
      </c>
    </row>
    <row r="4" spans="1:2" x14ac:dyDescent="0.25">
      <c r="A4" s="8" t="s">
        <v>38</v>
      </c>
      <c r="B4" s="2" t="s">
        <v>3</v>
      </c>
    </row>
    <row r="5" spans="1:2" x14ac:dyDescent="0.25">
      <c r="A5" s="8" t="s">
        <v>39</v>
      </c>
      <c r="B5" s="2" t="s">
        <v>3</v>
      </c>
    </row>
    <row r="6" spans="1:2" x14ac:dyDescent="0.25">
      <c r="A6" s="8" t="s">
        <v>40</v>
      </c>
      <c r="B6" s="2" t="s">
        <v>3</v>
      </c>
    </row>
    <row r="7" spans="1:2" x14ac:dyDescent="0.25">
      <c r="A7" s="8" t="s">
        <v>41</v>
      </c>
      <c r="B7" s="2" t="s">
        <v>3</v>
      </c>
    </row>
    <row r="8" spans="1:2" x14ac:dyDescent="0.25">
      <c r="A8" s="8" t="s">
        <v>42</v>
      </c>
      <c r="B8" s="2" t="s">
        <v>3</v>
      </c>
    </row>
    <row r="9" spans="1:2" x14ac:dyDescent="0.25">
      <c r="A9" s="8" t="s">
        <v>43</v>
      </c>
      <c r="B9" s="2" t="s">
        <v>3</v>
      </c>
    </row>
    <row r="10" spans="1:2" x14ac:dyDescent="0.25">
      <c r="A10" s="8" t="s">
        <v>44</v>
      </c>
      <c r="B10" s="2" t="s">
        <v>3</v>
      </c>
    </row>
    <row r="11" spans="1:2" x14ac:dyDescent="0.25">
      <c r="A11" s="8" t="s">
        <v>45</v>
      </c>
      <c r="B11" s="2" t="s">
        <v>3</v>
      </c>
    </row>
    <row r="12" spans="1:2" x14ac:dyDescent="0.25">
      <c r="A12" s="8" t="s">
        <v>46</v>
      </c>
      <c r="B12" s="2" t="s">
        <v>3</v>
      </c>
    </row>
    <row r="13" spans="1:2" x14ac:dyDescent="0.25">
      <c r="A13" s="8" t="s">
        <v>47</v>
      </c>
      <c r="B13" s="2" t="s">
        <v>3</v>
      </c>
    </row>
    <row r="14" spans="1:2" x14ac:dyDescent="0.25">
      <c r="A14" s="8" t="s">
        <v>48</v>
      </c>
      <c r="B14" s="2" t="s">
        <v>3</v>
      </c>
    </row>
    <row r="15" spans="1:2" x14ac:dyDescent="0.25">
      <c r="A15" s="8" t="s">
        <v>49</v>
      </c>
      <c r="B15" s="2" t="s">
        <v>13</v>
      </c>
    </row>
    <row r="16" spans="1:2" x14ac:dyDescent="0.25">
      <c r="A16" s="8" t="s">
        <v>50</v>
      </c>
      <c r="B16" s="2" t="s">
        <v>13</v>
      </c>
    </row>
    <row r="17" spans="1:2" x14ac:dyDescent="0.25">
      <c r="A17" s="8" t="s">
        <v>51</v>
      </c>
      <c r="B17" s="2" t="s">
        <v>13</v>
      </c>
    </row>
    <row r="18" spans="1:2" x14ac:dyDescent="0.25">
      <c r="A18" s="8" t="s">
        <v>52</v>
      </c>
      <c r="B18" s="2" t="s">
        <v>13</v>
      </c>
    </row>
    <row r="19" spans="1:2" x14ac:dyDescent="0.25">
      <c r="A19" s="8" t="s">
        <v>53</v>
      </c>
      <c r="B19" s="2" t="s">
        <v>13</v>
      </c>
    </row>
    <row r="20" spans="1:2" x14ac:dyDescent="0.25">
      <c r="A20" s="8" t="s">
        <v>54</v>
      </c>
      <c r="B20" s="2" t="s">
        <v>13</v>
      </c>
    </row>
    <row r="21" spans="1:2" x14ac:dyDescent="0.25">
      <c r="A21" s="8" t="s">
        <v>55</v>
      </c>
      <c r="B21" s="2" t="s">
        <v>13</v>
      </c>
    </row>
    <row r="22" spans="1:2" x14ac:dyDescent="0.25">
      <c r="A22" s="8" t="s">
        <v>56</v>
      </c>
      <c r="B22" s="2" t="s">
        <v>13</v>
      </c>
    </row>
    <row r="23" spans="1:2" x14ac:dyDescent="0.25">
      <c r="A23" s="8" t="s">
        <v>57</v>
      </c>
      <c r="B23" s="2" t="s">
        <v>13</v>
      </c>
    </row>
    <row r="24" spans="1:2" x14ac:dyDescent="0.25">
      <c r="A24" s="8" t="s">
        <v>58</v>
      </c>
      <c r="B24" s="2" t="s">
        <v>13</v>
      </c>
    </row>
    <row r="25" spans="1:2" x14ac:dyDescent="0.25">
      <c r="A25" s="8" t="s">
        <v>59</v>
      </c>
      <c r="B25" s="2" t="s">
        <v>13</v>
      </c>
    </row>
    <row r="26" spans="1:2" x14ac:dyDescent="0.25">
      <c r="A26" s="8" t="s">
        <v>60</v>
      </c>
      <c r="B26" s="2" t="s">
        <v>13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MatchPairings"/>
  <dimension ref="A1:L1"/>
  <sheetViews>
    <sheetView workbookViewId="0">
      <selection activeCell="D10" sqref="D10"/>
    </sheetView>
  </sheetViews>
  <sheetFormatPr defaultColWidth="11" defaultRowHeight="15.75" x14ac:dyDescent="0.25"/>
  <cols>
    <col min="1" max="1" width="8.75" customWidth="1"/>
    <col min="2" max="2" width="13" bestFit="1" customWidth="1"/>
    <col min="3" max="3" width="16.125" bestFit="1" customWidth="1"/>
    <col min="4" max="4" width="11" style="3"/>
    <col min="5" max="5" width="14.875" bestFit="1" customWidth="1"/>
    <col min="6" max="6" width="16.125" bestFit="1" customWidth="1"/>
    <col min="7" max="7" width="8.25" customWidth="1"/>
    <col min="8" max="8" width="13.75" customWidth="1"/>
    <col min="9" max="9" width="14.875" bestFit="1" customWidth="1"/>
    <col min="10" max="10" width="11" style="3"/>
    <col min="11" max="11" width="13.125" customWidth="1"/>
    <col min="12" max="12" width="13.375" customWidth="1"/>
  </cols>
  <sheetData>
    <row r="1" spans="1:12" ht="32.25" customHeight="1" thickBot="1" x14ac:dyDescent="0.3">
      <c r="A1" s="27" t="s">
        <v>19</v>
      </c>
      <c r="B1" s="26" t="s">
        <v>14</v>
      </c>
      <c r="C1" s="26" t="s">
        <v>15</v>
      </c>
      <c r="D1" s="26" t="s">
        <v>5</v>
      </c>
      <c r="E1" s="26" t="s">
        <v>16</v>
      </c>
      <c r="F1" s="26" t="s">
        <v>17</v>
      </c>
      <c r="G1" s="27" t="s">
        <v>20</v>
      </c>
      <c r="H1" s="26" t="s">
        <v>14</v>
      </c>
      <c r="I1" s="26" t="s">
        <v>15</v>
      </c>
      <c r="J1" s="26" t="s">
        <v>5</v>
      </c>
      <c r="K1" s="26" t="s">
        <v>16</v>
      </c>
      <c r="L1" s="26" t="s">
        <v>17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MatchHistory"/>
  <dimension ref="A1:S301"/>
  <sheetViews>
    <sheetView workbookViewId="0">
      <selection activeCell="C11" sqref="C11"/>
    </sheetView>
  </sheetViews>
  <sheetFormatPr defaultColWidth="11" defaultRowHeight="15.75" x14ac:dyDescent="0.25"/>
  <cols>
    <col min="2" max="2" width="16.125" bestFit="1" customWidth="1"/>
    <col min="3" max="3" width="14.875" bestFit="1" customWidth="1"/>
    <col min="5" max="5" width="13.125" bestFit="1" customWidth="1"/>
    <col min="6" max="6" width="16.125" bestFit="1" customWidth="1"/>
    <col min="8" max="8" width="16.125" bestFit="1" customWidth="1"/>
    <col min="9" max="9" width="14.5" bestFit="1" customWidth="1"/>
    <col min="11" max="11" width="16.125" bestFit="1" customWidth="1"/>
    <col min="12" max="12" width="16.375" bestFit="1" customWidth="1"/>
    <col min="13" max="13" width="14.25" bestFit="1" customWidth="1"/>
    <col min="14" max="14" width="28.375" bestFit="1" customWidth="1"/>
    <col min="15" max="15" width="14.375" bestFit="1" customWidth="1"/>
    <col min="16" max="18" width="14" customWidth="1"/>
    <col min="19" max="19" width="11" customWidth="1"/>
  </cols>
  <sheetData>
    <row r="1" spans="1:19" ht="16.5" thickBot="1" x14ac:dyDescent="0.3">
      <c r="A1" s="5" t="s">
        <v>1</v>
      </c>
      <c r="B1" s="5" t="s">
        <v>14</v>
      </c>
      <c r="C1" s="5" t="s">
        <v>15</v>
      </c>
      <c r="D1" s="5" t="s">
        <v>5</v>
      </c>
      <c r="E1" s="5" t="s">
        <v>16</v>
      </c>
      <c r="F1" s="5" t="s">
        <v>17</v>
      </c>
      <c r="G1" s="5"/>
      <c r="H1" s="5" t="s">
        <v>18</v>
      </c>
      <c r="I1" s="5" t="s">
        <v>4</v>
      </c>
      <c r="J1" s="5"/>
      <c r="K1" s="13" t="s">
        <v>6</v>
      </c>
      <c r="L1" s="14" t="s">
        <v>7</v>
      </c>
      <c r="M1" s="19" t="s">
        <v>8</v>
      </c>
      <c r="N1" s="23" t="s">
        <v>12</v>
      </c>
      <c r="O1" s="23" t="s">
        <v>11</v>
      </c>
      <c r="P1" s="28" t="str">
        <f>CONCATENATE(B1,C1)</f>
        <v>Player 1Player 2</v>
      </c>
      <c r="Q1" s="25" t="str">
        <f>CONCATENATE(C1,B1)</f>
        <v>Player 2Player 1</v>
      </c>
      <c r="R1" s="25" t="str">
        <f>CONCATENATE(E1,F1)</f>
        <v>Player 3Player 4</v>
      </c>
      <c r="S1" s="25" t="str">
        <f>CONCATENATE(F1,E1)</f>
        <v>Player 4Player 3</v>
      </c>
    </row>
    <row r="2" spans="1:19" x14ac:dyDescent="0.25">
      <c r="A2" s="1"/>
      <c r="B2" s="1"/>
      <c r="K2" s="12" t="str">
        <f>Participants!A2</f>
        <v>Jordan Spieth</v>
      </c>
      <c r="L2" s="11">
        <f>COUNTIF(H:H,K2)</f>
        <v>0</v>
      </c>
      <c r="M2" s="20">
        <f>COUNTIF(I:I,K2)</f>
        <v>0</v>
      </c>
      <c r="N2" s="22" t="str">
        <f>CONCATENATE(K$2,K3)</f>
        <v>Jordan SpiethRory McIlroy</v>
      </c>
      <c r="O2" s="24">
        <f>COUNTIF(P:P, N2) + COUNTIF(Q:Q,N2)+ COUNTIF(R:R,N2)+ COUNTIF(S:S,N2)</f>
        <v>0</v>
      </c>
      <c r="P2" s="28" t="str">
        <f t="shared" ref="P2:P18" si="0">CONCATENATE(B2,C2)</f>
        <v/>
      </c>
      <c r="Q2" s="25" t="str">
        <f t="shared" ref="Q2:Q18" si="1">CONCATENATE(C2,B2)</f>
        <v/>
      </c>
      <c r="R2" s="25" t="str">
        <f t="shared" ref="R2:R18" si="2">CONCATENATE(E2,F2)</f>
        <v/>
      </c>
      <c r="S2" s="25" t="str">
        <f t="shared" ref="S2:S18" si="3">CONCATENATE(F2,E2)</f>
        <v/>
      </c>
    </row>
    <row r="3" spans="1:19" x14ac:dyDescent="0.25">
      <c r="A3" s="1"/>
      <c r="B3" s="1"/>
      <c r="K3" s="7" t="str">
        <f>Participants!A3</f>
        <v>Rory McIlroy</v>
      </c>
      <c r="L3" s="11">
        <f t="shared" ref="L3:L26" si="4">COUNTIF(H:H,K3)</f>
        <v>0</v>
      </c>
      <c r="M3" s="20">
        <f t="shared" ref="M3:M26" si="5">COUNTIF(I:I,K3)</f>
        <v>0</v>
      </c>
      <c r="N3" s="21" t="str">
        <f t="shared" ref="N3:N25" si="6">CONCATENATE(K$2,K4)</f>
        <v>Jordan SpiethJason Day</v>
      </c>
      <c r="O3" s="24">
        <f t="shared" ref="O3:O66" si="7">COUNTIF(P:P, N3) + COUNTIF(Q:Q,N3)+ COUNTIF(R:R,N3)+ COUNTIF(S:S,N3)</f>
        <v>0</v>
      </c>
      <c r="P3" s="28" t="str">
        <f t="shared" si="0"/>
        <v/>
      </c>
      <c r="Q3" s="25" t="str">
        <f t="shared" si="1"/>
        <v/>
      </c>
      <c r="R3" s="25" t="str">
        <f t="shared" si="2"/>
        <v/>
      </c>
      <c r="S3" s="25" t="str">
        <f t="shared" si="3"/>
        <v/>
      </c>
    </row>
    <row r="4" spans="1:19" x14ac:dyDescent="0.25">
      <c r="A4" s="1"/>
      <c r="B4" s="1"/>
      <c r="K4" s="7" t="str">
        <f>Participants!A4</f>
        <v>Jason Day</v>
      </c>
      <c r="L4" s="11">
        <f t="shared" si="4"/>
        <v>0</v>
      </c>
      <c r="M4" s="20">
        <f t="shared" si="5"/>
        <v>0</v>
      </c>
      <c r="N4" s="21" t="str">
        <f t="shared" si="6"/>
        <v>Jordan SpiethBubba Watson</v>
      </c>
      <c r="O4" s="24">
        <f t="shared" si="7"/>
        <v>0</v>
      </c>
      <c r="P4" s="28" t="str">
        <f t="shared" si="0"/>
        <v/>
      </c>
      <c r="Q4" s="25" t="str">
        <f t="shared" si="1"/>
        <v/>
      </c>
      <c r="R4" s="25" t="str">
        <f t="shared" si="2"/>
        <v/>
      </c>
      <c r="S4" s="25" t="str">
        <f t="shared" si="3"/>
        <v/>
      </c>
    </row>
    <row r="5" spans="1:19" x14ac:dyDescent="0.25">
      <c r="A5" s="1"/>
      <c r="B5" s="1"/>
      <c r="K5" s="7" t="str">
        <f>Participants!A5</f>
        <v>Bubba Watson</v>
      </c>
      <c r="L5" s="11">
        <f t="shared" si="4"/>
        <v>0</v>
      </c>
      <c r="M5" s="20">
        <f t="shared" si="5"/>
        <v>0</v>
      </c>
      <c r="N5" s="21" t="str">
        <f t="shared" si="6"/>
        <v>Jordan SpiethRickie Fowler</v>
      </c>
      <c r="O5" s="24">
        <f t="shared" si="7"/>
        <v>0</v>
      </c>
      <c r="P5" s="28" t="str">
        <f t="shared" si="0"/>
        <v/>
      </c>
      <c r="Q5" s="25" t="str">
        <f t="shared" si="1"/>
        <v/>
      </c>
      <c r="R5" s="25" t="str">
        <f t="shared" si="2"/>
        <v/>
      </c>
      <c r="S5" s="25" t="str">
        <f t="shared" si="3"/>
        <v/>
      </c>
    </row>
    <row r="6" spans="1:19" x14ac:dyDescent="0.25">
      <c r="A6" s="1"/>
      <c r="B6" s="1"/>
      <c r="K6" s="7" t="str">
        <f>Participants!A6</f>
        <v>Rickie Fowler</v>
      </c>
      <c r="L6" s="11">
        <f t="shared" si="4"/>
        <v>0</v>
      </c>
      <c r="M6" s="20">
        <f t="shared" si="5"/>
        <v>0</v>
      </c>
      <c r="N6" s="21" t="str">
        <f t="shared" si="6"/>
        <v>Jordan SpiethAdam Scott</v>
      </c>
      <c r="O6" s="24">
        <f t="shared" si="7"/>
        <v>0</v>
      </c>
      <c r="P6" s="28" t="str">
        <f t="shared" si="0"/>
        <v/>
      </c>
      <c r="Q6" s="25" t="str">
        <f t="shared" si="1"/>
        <v/>
      </c>
      <c r="R6" s="25" t="str">
        <f t="shared" si="2"/>
        <v/>
      </c>
      <c r="S6" s="25" t="str">
        <f t="shared" si="3"/>
        <v/>
      </c>
    </row>
    <row r="7" spans="1:19" x14ac:dyDescent="0.25">
      <c r="A7" s="1"/>
      <c r="B7" s="1"/>
      <c r="K7" s="7" t="str">
        <f>Participants!A7</f>
        <v>Adam Scott</v>
      </c>
      <c r="L7" s="11">
        <f t="shared" si="4"/>
        <v>0</v>
      </c>
      <c r="M7" s="20">
        <f t="shared" si="5"/>
        <v>0</v>
      </c>
      <c r="N7" s="21" t="str">
        <f t="shared" si="6"/>
        <v>Jordan SpiethHenrik Stenson</v>
      </c>
      <c r="O7" s="22">
        <f t="shared" si="7"/>
        <v>0</v>
      </c>
      <c r="P7" s="28" t="str">
        <f t="shared" si="0"/>
        <v/>
      </c>
      <c r="Q7" s="25" t="str">
        <f t="shared" si="1"/>
        <v/>
      </c>
      <c r="R7" s="25" t="str">
        <f t="shared" si="2"/>
        <v/>
      </c>
      <c r="S7" s="25" t="str">
        <f t="shared" si="3"/>
        <v/>
      </c>
    </row>
    <row r="8" spans="1:19" x14ac:dyDescent="0.25">
      <c r="A8" s="1"/>
      <c r="B8" s="1"/>
      <c r="K8" s="7" t="str">
        <f>Participants!A8</f>
        <v>Henrik Stenson</v>
      </c>
      <c r="L8" s="11">
        <f t="shared" si="4"/>
        <v>0</v>
      </c>
      <c r="M8" s="20">
        <f t="shared" si="5"/>
        <v>0</v>
      </c>
      <c r="N8" s="21" t="str">
        <f t="shared" si="6"/>
        <v>Jordan SpiethJustin Rose</v>
      </c>
      <c r="O8" s="22">
        <f t="shared" si="7"/>
        <v>0</v>
      </c>
      <c r="P8" s="28" t="str">
        <f t="shared" si="0"/>
        <v/>
      </c>
      <c r="Q8" s="25" t="str">
        <f t="shared" si="1"/>
        <v/>
      </c>
      <c r="R8" s="25" t="str">
        <f t="shared" si="2"/>
        <v/>
      </c>
      <c r="S8" s="25" t="str">
        <f t="shared" si="3"/>
        <v/>
      </c>
    </row>
    <row r="9" spans="1:19" x14ac:dyDescent="0.25">
      <c r="A9" s="1"/>
      <c r="B9" s="1"/>
      <c r="K9" s="7" t="str">
        <f>Participants!A9</f>
        <v>Justin Rose</v>
      </c>
      <c r="L9" s="11">
        <f t="shared" si="4"/>
        <v>0</v>
      </c>
      <c r="M9" s="20">
        <f t="shared" si="5"/>
        <v>0</v>
      </c>
      <c r="N9" s="21" t="str">
        <f t="shared" si="6"/>
        <v>Jordan SpiethDustin Johnson</v>
      </c>
      <c r="O9" s="22">
        <f t="shared" si="7"/>
        <v>0</v>
      </c>
      <c r="P9" s="28" t="str">
        <f t="shared" si="0"/>
        <v/>
      </c>
      <c r="Q9" s="25" t="str">
        <f t="shared" si="1"/>
        <v/>
      </c>
      <c r="R9" s="25" t="str">
        <f t="shared" si="2"/>
        <v/>
      </c>
      <c r="S9" s="25" t="str">
        <f t="shared" si="3"/>
        <v/>
      </c>
    </row>
    <row r="10" spans="1:19" x14ac:dyDescent="0.25">
      <c r="A10" s="1"/>
      <c r="B10" s="1"/>
      <c r="K10" s="7" t="str">
        <f>Participants!A10</f>
        <v>Dustin Johnson</v>
      </c>
      <c r="L10" s="11">
        <f t="shared" si="4"/>
        <v>0</v>
      </c>
      <c r="M10" s="20">
        <f t="shared" si="5"/>
        <v>0</v>
      </c>
      <c r="N10" s="21" t="str">
        <f t="shared" si="6"/>
        <v>Jordan SpiethPatrick Reed</v>
      </c>
      <c r="O10" s="22">
        <f t="shared" si="7"/>
        <v>0</v>
      </c>
      <c r="P10" s="28" t="str">
        <f t="shared" si="0"/>
        <v/>
      </c>
      <c r="Q10" s="25" t="str">
        <f t="shared" si="1"/>
        <v/>
      </c>
      <c r="R10" s="25" t="str">
        <f t="shared" si="2"/>
        <v/>
      </c>
      <c r="S10" s="25" t="str">
        <f t="shared" si="3"/>
        <v/>
      </c>
    </row>
    <row r="11" spans="1:19" x14ac:dyDescent="0.25">
      <c r="A11" s="1"/>
      <c r="B11" s="1"/>
      <c r="K11" s="7" t="str">
        <f>Participants!A11</f>
        <v>Patrick Reed</v>
      </c>
      <c r="L11" s="11">
        <f t="shared" si="4"/>
        <v>0</v>
      </c>
      <c r="M11" s="20">
        <f t="shared" si="5"/>
        <v>0</v>
      </c>
      <c r="N11" s="21" t="str">
        <f t="shared" si="6"/>
        <v>Jordan SpiethDanny Willett</v>
      </c>
      <c r="O11" s="22">
        <f t="shared" si="7"/>
        <v>0</v>
      </c>
      <c r="P11" s="28" t="str">
        <f t="shared" si="0"/>
        <v/>
      </c>
      <c r="Q11" s="25" t="str">
        <f t="shared" si="1"/>
        <v/>
      </c>
      <c r="R11" s="25" t="str">
        <f t="shared" si="2"/>
        <v/>
      </c>
      <c r="S11" s="25" t="str">
        <f t="shared" si="3"/>
        <v/>
      </c>
    </row>
    <row r="12" spans="1:19" x14ac:dyDescent="0.25">
      <c r="A12" s="1"/>
      <c r="B12" s="1"/>
      <c r="K12" s="7" t="str">
        <f>Participants!A12</f>
        <v>Danny Willett</v>
      </c>
      <c r="L12" s="11">
        <f t="shared" si="4"/>
        <v>0</v>
      </c>
      <c r="M12" s="20">
        <f t="shared" si="5"/>
        <v>0</v>
      </c>
      <c r="N12" s="21" t="str">
        <f t="shared" si="6"/>
        <v>Jordan SpiethBranden Grace</v>
      </c>
      <c r="O12" s="22">
        <f t="shared" si="7"/>
        <v>0</v>
      </c>
      <c r="P12" s="28" t="str">
        <f t="shared" si="0"/>
        <v/>
      </c>
      <c r="Q12" s="25" t="str">
        <f t="shared" si="1"/>
        <v/>
      </c>
      <c r="R12" s="25" t="str">
        <f t="shared" si="2"/>
        <v/>
      </c>
      <c r="S12" s="25" t="str">
        <f t="shared" si="3"/>
        <v/>
      </c>
    </row>
    <row r="13" spans="1:19" x14ac:dyDescent="0.25">
      <c r="A13" s="1"/>
      <c r="B13" s="1"/>
      <c r="K13" s="7" t="str">
        <f>Participants!A13</f>
        <v>Branden Grace</v>
      </c>
      <c r="L13" s="11">
        <f t="shared" si="4"/>
        <v>0</v>
      </c>
      <c r="M13" s="20">
        <f t="shared" si="5"/>
        <v>0</v>
      </c>
      <c r="N13" s="21" t="str">
        <f t="shared" si="6"/>
        <v>Jordan SpiethSergio Garcia</v>
      </c>
      <c r="O13" s="22">
        <f t="shared" si="7"/>
        <v>0</v>
      </c>
      <c r="P13" s="28" t="str">
        <f t="shared" si="0"/>
        <v/>
      </c>
      <c r="Q13" s="25" t="str">
        <f t="shared" si="1"/>
        <v/>
      </c>
      <c r="R13" s="25" t="str">
        <f t="shared" si="2"/>
        <v/>
      </c>
      <c r="S13" s="25" t="str">
        <f t="shared" si="3"/>
        <v/>
      </c>
    </row>
    <row r="14" spans="1:19" x14ac:dyDescent="0.25">
      <c r="A14" s="1"/>
      <c r="B14" s="1"/>
      <c r="K14" s="7" t="str">
        <f>Participants!A14</f>
        <v>Sergio Garcia</v>
      </c>
      <c r="L14" s="11">
        <f t="shared" si="4"/>
        <v>0</v>
      </c>
      <c r="M14" s="20">
        <f t="shared" si="5"/>
        <v>0</v>
      </c>
      <c r="N14" s="21" t="str">
        <f t="shared" si="6"/>
        <v>Jordan SpiethHideki Matsuyama</v>
      </c>
      <c r="O14" s="22">
        <f t="shared" si="7"/>
        <v>0</v>
      </c>
      <c r="P14" s="28" t="str">
        <f t="shared" si="0"/>
        <v/>
      </c>
      <c r="Q14" s="25" t="str">
        <f t="shared" si="1"/>
        <v/>
      </c>
      <c r="R14" s="25" t="str">
        <f t="shared" si="2"/>
        <v/>
      </c>
      <c r="S14" s="25" t="str">
        <f t="shared" si="3"/>
        <v/>
      </c>
    </row>
    <row r="15" spans="1:19" x14ac:dyDescent="0.25">
      <c r="A15" s="1"/>
      <c r="B15" s="1"/>
      <c r="K15" s="7" t="str">
        <f>Participants!A15</f>
        <v>Hideki Matsuyama</v>
      </c>
      <c r="L15" s="11">
        <f t="shared" si="4"/>
        <v>0</v>
      </c>
      <c r="M15" s="20">
        <f t="shared" si="5"/>
        <v>0</v>
      </c>
      <c r="N15" s="21" t="str">
        <f t="shared" si="6"/>
        <v>Jordan SpiethJim Furyk</v>
      </c>
      <c r="O15" s="22">
        <f t="shared" si="7"/>
        <v>0</v>
      </c>
      <c r="P15" s="28" t="str">
        <f t="shared" si="0"/>
        <v/>
      </c>
      <c r="Q15" s="25" t="str">
        <f t="shared" si="1"/>
        <v/>
      </c>
      <c r="R15" s="25" t="str">
        <f t="shared" si="2"/>
        <v/>
      </c>
      <c r="S15" s="25" t="str">
        <f t="shared" si="3"/>
        <v/>
      </c>
    </row>
    <row r="16" spans="1:19" x14ac:dyDescent="0.25">
      <c r="A16" s="1"/>
      <c r="B16" s="1"/>
      <c r="K16" s="7" t="str">
        <f>Participants!A16</f>
        <v>Jim Furyk</v>
      </c>
      <c r="L16" s="11">
        <f t="shared" si="4"/>
        <v>0</v>
      </c>
      <c r="M16" s="20">
        <f t="shared" si="5"/>
        <v>0</v>
      </c>
      <c r="N16" s="21" t="str">
        <f t="shared" si="6"/>
        <v>Jordan SpiethBrandt Snedeker</v>
      </c>
      <c r="O16" s="22">
        <f t="shared" si="7"/>
        <v>0</v>
      </c>
      <c r="P16" s="28" t="str">
        <f t="shared" si="0"/>
        <v/>
      </c>
      <c r="Q16" s="25" t="str">
        <f t="shared" si="1"/>
        <v/>
      </c>
      <c r="R16" s="25" t="str">
        <f t="shared" si="2"/>
        <v/>
      </c>
      <c r="S16" s="25" t="str">
        <f t="shared" si="3"/>
        <v/>
      </c>
    </row>
    <row r="17" spans="1:19" x14ac:dyDescent="0.25">
      <c r="A17" s="1"/>
      <c r="B17" s="1"/>
      <c r="K17" s="7" t="str">
        <f>Participants!A17</f>
        <v>Brandt Snedeker</v>
      </c>
      <c r="L17" s="11">
        <f t="shared" si="4"/>
        <v>0</v>
      </c>
      <c r="M17" s="20">
        <f t="shared" si="5"/>
        <v>0</v>
      </c>
      <c r="N17" s="21" t="str">
        <f t="shared" si="6"/>
        <v>Jordan SpiethPhil Mickelson</v>
      </c>
      <c r="O17" s="22">
        <f t="shared" si="7"/>
        <v>0</v>
      </c>
      <c r="P17" s="28" t="str">
        <f t="shared" si="0"/>
        <v/>
      </c>
      <c r="Q17" s="25" t="str">
        <f t="shared" si="1"/>
        <v/>
      </c>
      <c r="R17" s="25" t="str">
        <f t="shared" si="2"/>
        <v/>
      </c>
      <c r="S17" s="25" t="str">
        <f t="shared" si="3"/>
        <v/>
      </c>
    </row>
    <row r="18" spans="1:19" x14ac:dyDescent="0.25">
      <c r="A18" s="1"/>
      <c r="B18" s="1"/>
      <c r="K18" s="7" t="str">
        <f>Participants!A18</f>
        <v>Phil Mickelson</v>
      </c>
      <c r="L18" s="11">
        <f t="shared" si="4"/>
        <v>0</v>
      </c>
      <c r="M18" s="20">
        <f t="shared" si="5"/>
        <v>0</v>
      </c>
      <c r="N18" s="21" t="str">
        <f t="shared" si="6"/>
        <v>Jordan SpiethLouis Oosthuizen</v>
      </c>
      <c r="O18" s="22">
        <f t="shared" si="7"/>
        <v>0</v>
      </c>
      <c r="P18" s="28" t="str">
        <f t="shared" si="0"/>
        <v/>
      </c>
      <c r="Q18" s="25" t="str">
        <f t="shared" si="1"/>
        <v/>
      </c>
      <c r="R18" s="25" t="str">
        <f t="shared" si="2"/>
        <v/>
      </c>
      <c r="S18" s="25" t="str">
        <f t="shared" si="3"/>
        <v/>
      </c>
    </row>
    <row r="19" spans="1:19" x14ac:dyDescent="0.25">
      <c r="A19" s="1"/>
      <c r="B19" s="1"/>
      <c r="K19" s="7" t="str">
        <f>Participants!A19</f>
        <v>Louis Oosthuizen</v>
      </c>
      <c r="L19" s="11">
        <f t="shared" si="4"/>
        <v>0</v>
      </c>
      <c r="M19" s="20">
        <f t="shared" si="5"/>
        <v>0</v>
      </c>
      <c r="N19" s="21" t="str">
        <f t="shared" si="6"/>
        <v>Jordan SpiethBrooks Koepka</v>
      </c>
      <c r="O19" s="22">
        <f t="shared" si="7"/>
        <v>0</v>
      </c>
      <c r="P19" s="25" t="str">
        <f t="shared" ref="P19:P24" si="8">CONCATENATE(B19,C19)</f>
        <v/>
      </c>
      <c r="Q19" s="25" t="str">
        <f t="shared" ref="Q19:Q24" si="9">CONCATENATE(C19,B19)</f>
        <v/>
      </c>
      <c r="R19" s="25" t="str">
        <f t="shared" ref="R19:R24" si="10" xml:space="preserve"> CONCATENATE(E19,F19)</f>
        <v/>
      </c>
      <c r="S19" s="25" t="str">
        <f t="shared" ref="S19:S24" si="11" xml:space="preserve"> CONCATENATE(F19,E19)</f>
        <v/>
      </c>
    </row>
    <row r="20" spans="1:19" x14ac:dyDescent="0.25">
      <c r="A20" s="1"/>
      <c r="B20" s="1"/>
      <c r="K20" s="7" t="str">
        <f>Participants!A20</f>
        <v>Brooks Koepka</v>
      </c>
      <c r="L20" s="11">
        <f t="shared" si="4"/>
        <v>0</v>
      </c>
      <c r="M20" s="20">
        <f t="shared" si="5"/>
        <v>0</v>
      </c>
      <c r="N20" s="21" t="str">
        <f t="shared" si="6"/>
        <v>Jordan SpiethZach Johnson</v>
      </c>
      <c r="O20" s="22">
        <f t="shared" si="7"/>
        <v>0</v>
      </c>
      <c r="P20" s="25" t="str">
        <f t="shared" si="8"/>
        <v/>
      </c>
      <c r="Q20" s="25" t="str">
        <f t="shared" si="9"/>
        <v/>
      </c>
      <c r="R20" s="25" t="str">
        <f t="shared" si="10"/>
        <v/>
      </c>
      <c r="S20" s="25" t="str">
        <f t="shared" si="11"/>
        <v/>
      </c>
    </row>
    <row r="21" spans="1:19" x14ac:dyDescent="0.25">
      <c r="A21" s="1"/>
      <c r="B21" s="1"/>
      <c r="K21" s="7" t="str">
        <f>Participants!A21</f>
        <v>Zach Johnson</v>
      </c>
      <c r="L21" s="11">
        <f t="shared" si="4"/>
        <v>0</v>
      </c>
      <c r="M21" s="20">
        <f t="shared" si="5"/>
        <v>0</v>
      </c>
      <c r="N21" s="21" t="str">
        <f t="shared" si="6"/>
        <v>Jordan SpiethKevin Kisner</v>
      </c>
      <c r="O21" s="22">
        <f t="shared" si="7"/>
        <v>0</v>
      </c>
      <c r="P21" s="25" t="str">
        <f t="shared" si="8"/>
        <v/>
      </c>
      <c r="Q21" s="25" t="str">
        <f t="shared" si="9"/>
        <v/>
      </c>
      <c r="R21" s="25" t="str">
        <f t="shared" si="10"/>
        <v/>
      </c>
      <c r="S21" s="25" t="str">
        <f t="shared" si="11"/>
        <v/>
      </c>
    </row>
    <row r="22" spans="1:19" x14ac:dyDescent="0.25">
      <c r="A22" s="1"/>
      <c r="B22" s="1"/>
      <c r="K22" s="7" t="str">
        <f>Participants!A22</f>
        <v>Kevin Kisner</v>
      </c>
      <c r="L22" s="11">
        <f t="shared" si="4"/>
        <v>0</v>
      </c>
      <c r="M22" s="20">
        <f t="shared" si="5"/>
        <v>0</v>
      </c>
      <c r="N22" s="21" t="str">
        <f t="shared" si="6"/>
        <v>Jordan SpiethJimmy Walker</v>
      </c>
      <c r="O22" s="22">
        <f t="shared" si="7"/>
        <v>0</v>
      </c>
      <c r="P22" s="25" t="str">
        <f t="shared" si="8"/>
        <v/>
      </c>
      <c r="Q22" s="25" t="str">
        <f t="shared" si="9"/>
        <v/>
      </c>
      <c r="R22" s="25" t="str">
        <f t="shared" si="10"/>
        <v/>
      </c>
      <c r="S22" s="25" t="str">
        <f t="shared" si="11"/>
        <v/>
      </c>
    </row>
    <row r="23" spans="1:19" x14ac:dyDescent="0.25">
      <c r="A23" s="1"/>
      <c r="B23" s="1"/>
      <c r="K23" s="7" t="str">
        <f>Participants!A23</f>
        <v>Jimmy Walker</v>
      </c>
      <c r="L23" s="11">
        <f t="shared" si="4"/>
        <v>0</v>
      </c>
      <c r="M23" s="20">
        <f t="shared" si="5"/>
        <v>0</v>
      </c>
      <c r="N23" s="21" t="str">
        <f t="shared" si="6"/>
        <v>Jordan SpiethJ.B. Holmes</v>
      </c>
      <c r="O23" s="22">
        <f t="shared" si="7"/>
        <v>0</v>
      </c>
      <c r="P23" s="25" t="str">
        <f t="shared" si="8"/>
        <v/>
      </c>
      <c r="Q23" s="25" t="str">
        <f t="shared" si="9"/>
        <v/>
      </c>
      <c r="R23" s="25" t="str">
        <f t="shared" si="10"/>
        <v/>
      </c>
      <c r="S23" s="25" t="str">
        <f t="shared" si="11"/>
        <v/>
      </c>
    </row>
    <row r="24" spans="1:19" x14ac:dyDescent="0.25">
      <c r="A24" s="1"/>
      <c r="B24" s="1"/>
      <c r="K24" s="7" t="str">
        <f>Participants!A24</f>
        <v>J.B. Holmes</v>
      </c>
      <c r="L24" s="11">
        <f t="shared" si="4"/>
        <v>0</v>
      </c>
      <c r="M24" s="20">
        <f t="shared" si="5"/>
        <v>0</v>
      </c>
      <c r="N24" s="21" t="str">
        <f t="shared" si="6"/>
        <v>Jordan SpiethShane Lowry</v>
      </c>
      <c r="O24" s="22">
        <f t="shared" si="7"/>
        <v>0</v>
      </c>
      <c r="P24" s="25" t="str">
        <f t="shared" si="8"/>
        <v/>
      </c>
      <c r="Q24" s="25" t="str">
        <f t="shared" si="9"/>
        <v/>
      </c>
      <c r="R24" s="25" t="str">
        <f t="shared" si="10"/>
        <v/>
      </c>
      <c r="S24" s="25" t="str">
        <f t="shared" si="11"/>
        <v/>
      </c>
    </row>
    <row r="25" spans="1:19" x14ac:dyDescent="0.25">
      <c r="A25" s="1"/>
      <c r="B25" s="1"/>
      <c r="K25" s="7" t="str">
        <f>Participants!A25</f>
        <v>Shane Lowry</v>
      </c>
      <c r="L25" s="11">
        <f t="shared" si="4"/>
        <v>0</v>
      </c>
      <c r="M25" s="20">
        <f t="shared" si="5"/>
        <v>0</v>
      </c>
      <c r="N25" s="21" t="str">
        <f t="shared" si="6"/>
        <v>Jordan SpiethPaul Casey</v>
      </c>
      <c r="O25" s="22">
        <f t="shared" si="7"/>
        <v>0</v>
      </c>
      <c r="P25" s="25" t="str">
        <f t="shared" ref="P25:P49" si="12">CONCATENATE(B25,C25)</f>
        <v/>
      </c>
      <c r="Q25" s="25" t="str">
        <f t="shared" ref="Q25:Q49" si="13">CONCATENATE(C25,B25)</f>
        <v/>
      </c>
      <c r="R25" s="25" t="str">
        <f t="shared" ref="R25:R49" si="14" xml:space="preserve"> CONCATENATE(E25,F25)</f>
        <v/>
      </c>
      <c r="S25" s="25" t="str">
        <f t="shared" ref="S25:S49" si="15" xml:space="preserve"> CONCATENATE(F25,E25)</f>
        <v/>
      </c>
    </row>
    <row r="26" spans="1:19" x14ac:dyDescent="0.25">
      <c r="A26" s="1"/>
      <c r="B26" s="1"/>
      <c r="K26" s="7" t="str">
        <f>Participants!A26</f>
        <v>Paul Casey</v>
      </c>
      <c r="L26" s="11">
        <f t="shared" si="4"/>
        <v>0</v>
      </c>
      <c r="M26" s="20">
        <f t="shared" si="5"/>
        <v>0</v>
      </c>
      <c r="N26" s="21" t="str">
        <f t="shared" ref="N26:N48" si="16">CONCATENATE(K$3,K4)</f>
        <v>Rory McIlroyJason Day</v>
      </c>
      <c r="O26" s="22">
        <f t="shared" si="7"/>
        <v>0</v>
      </c>
      <c r="P26" s="25" t="str">
        <f t="shared" si="12"/>
        <v/>
      </c>
      <c r="Q26" s="25" t="str">
        <f t="shared" si="13"/>
        <v/>
      </c>
      <c r="R26" s="25" t="str">
        <f t="shared" si="14"/>
        <v/>
      </c>
      <c r="S26" s="25" t="str">
        <f t="shared" si="15"/>
        <v/>
      </c>
    </row>
    <row r="27" spans="1:19" x14ac:dyDescent="0.25">
      <c r="A27" s="1"/>
      <c r="B27" s="1"/>
      <c r="N27" s="21" t="str">
        <f t="shared" si="16"/>
        <v>Rory McIlroyBubba Watson</v>
      </c>
      <c r="O27" s="22">
        <f t="shared" si="7"/>
        <v>0</v>
      </c>
      <c r="P27" s="25" t="str">
        <f t="shared" si="12"/>
        <v/>
      </c>
      <c r="Q27" s="25" t="str">
        <f t="shared" si="13"/>
        <v/>
      </c>
      <c r="R27" s="25" t="str">
        <f t="shared" si="14"/>
        <v/>
      </c>
      <c r="S27" s="25" t="str">
        <f t="shared" si="15"/>
        <v/>
      </c>
    </row>
    <row r="28" spans="1:19" x14ac:dyDescent="0.25">
      <c r="A28" s="1"/>
      <c r="B28" s="1"/>
      <c r="N28" s="21" t="str">
        <f t="shared" si="16"/>
        <v>Rory McIlroyRickie Fowler</v>
      </c>
      <c r="O28" s="22">
        <f t="shared" si="7"/>
        <v>0</v>
      </c>
      <c r="P28" s="25" t="str">
        <f t="shared" si="12"/>
        <v/>
      </c>
      <c r="Q28" s="25" t="str">
        <f t="shared" si="13"/>
        <v/>
      </c>
      <c r="R28" s="25" t="str">
        <f t="shared" si="14"/>
        <v/>
      </c>
      <c r="S28" s="25" t="str">
        <f t="shared" si="15"/>
        <v/>
      </c>
    </row>
    <row r="29" spans="1:19" x14ac:dyDescent="0.25">
      <c r="A29" s="1"/>
      <c r="B29" s="1"/>
      <c r="N29" s="21" t="str">
        <f t="shared" si="16"/>
        <v>Rory McIlroyAdam Scott</v>
      </c>
      <c r="O29" s="22">
        <f t="shared" si="7"/>
        <v>0</v>
      </c>
      <c r="P29" s="25" t="str">
        <f t="shared" si="12"/>
        <v/>
      </c>
      <c r="Q29" s="25" t="str">
        <f t="shared" si="13"/>
        <v/>
      </c>
      <c r="R29" s="25" t="str">
        <f t="shared" si="14"/>
        <v/>
      </c>
      <c r="S29" s="25" t="str">
        <f t="shared" si="15"/>
        <v/>
      </c>
    </row>
    <row r="30" spans="1:19" x14ac:dyDescent="0.25">
      <c r="A30" s="1"/>
      <c r="B30" s="1"/>
      <c r="N30" s="21" t="str">
        <f t="shared" si="16"/>
        <v>Rory McIlroyHenrik Stenson</v>
      </c>
      <c r="O30" s="22">
        <f t="shared" si="7"/>
        <v>0</v>
      </c>
      <c r="P30" s="25" t="str">
        <f t="shared" si="12"/>
        <v/>
      </c>
      <c r="Q30" s="25" t="str">
        <f t="shared" si="13"/>
        <v/>
      </c>
      <c r="R30" s="25" t="str">
        <f t="shared" si="14"/>
        <v/>
      </c>
      <c r="S30" s="25" t="str">
        <f t="shared" si="15"/>
        <v/>
      </c>
    </row>
    <row r="31" spans="1:19" x14ac:dyDescent="0.25">
      <c r="A31" s="1"/>
      <c r="B31" s="1"/>
      <c r="N31" s="21" t="str">
        <f t="shared" si="16"/>
        <v>Rory McIlroyJustin Rose</v>
      </c>
      <c r="O31" s="22">
        <f t="shared" si="7"/>
        <v>0</v>
      </c>
      <c r="P31" s="25" t="str">
        <f t="shared" si="12"/>
        <v/>
      </c>
      <c r="Q31" s="25" t="str">
        <f t="shared" si="13"/>
        <v/>
      </c>
      <c r="R31" s="25" t="str">
        <f t="shared" si="14"/>
        <v/>
      </c>
      <c r="S31" s="25" t="str">
        <f t="shared" si="15"/>
        <v/>
      </c>
    </row>
    <row r="32" spans="1:19" x14ac:dyDescent="0.25">
      <c r="A32" s="1"/>
      <c r="B32" s="1"/>
      <c r="K32" t="s">
        <v>34</v>
      </c>
      <c r="N32" s="21" t="str">
        <f t="shared" si="16"/>
        <v>Rory McIlroyDustin Johnson</v>
      </c>
      <c r="O32" s="22">
        <f t="shared" si="7"/>
        <v>0</v>
      </c>
      <c r="P32" s="25" t="str">
        <f t="shared" si="12"/>
        <v/>
      </c>
      <c r="Q32" s="25" t="str">
        <f t="shared" si="13"/>
        <v/>
      </c>
      <c r="R32" s="25" t="str">
        <f t="shared" si="14"/>
        <v/>
      </c>
      <c r="S32" s="25" t="str">
        <f t="shared" si="15"/>
        <v/>
      </c>
    </row>
    <row r="33" spans="1:19" x14ac:dyDescent="0.25">
      <c r="A33" s="1"/>
      <c r="B33" s="1"/>
      <c r="K33" t="s">
        <v>35</v>
      </c>
      <c r="N33" s="21" t="str">
        <f t="shared" si="16"/>
        <v>Rory McIlroyPatrick Reed</v>
      </c>
      <c r="O33" s="22">
        <f t="shared" si="7"/>
        <v>0</v>
      </c>
      <c r="P33" s="25" t="str">
        <f t="shared" si="12"/>
        <v/>
      </c>
      <c r="Q33" s="25" t="str">
        <f t="shared" si="13"/>
        <v/>
      </c>
      <c r="R33" s="25" t="str">
        <f t="shared" si="14"/>
        <v/>
      </c>
      <c r="S33" s="25" t="str">
        <f t="shared" si="15"/>
        <v/>
      </c>
    </row>
    <row r="34" spans="1:19" x14ac:dyDescent="0.25">
      <c r="A34" s="1"/>
      <c r="B34" s="1"/>
      <c r="N34" s="21" t="str">
        <f t="shared" si="16"/>
        <v>Rory McIlroyDanny Willett</v>
      </c>
      <c r="O34" s="22">
        <f t="shared" si="7"/>
        <v>0</v>
      </c>
      <c r="P34" s="25" t="str">
        <f t="shared" si="12"/>
        <v/>
      </c>
      <c r="Q34" s="25" t="str">
        <f t="shared" si="13"/>
        <v/>
      </c>
      <c r="R34" s="25" t="str">
        <f t="shared" si="14"/>
        <v/>
      </c>
      <c r="S34" s="25" t="str">
        <f t="shared" si="15"/>
        <v/>
      </c>
    </row>
    <row r="35" spans="1:19" x14ac:dyDescent="0.25">
      <c r="A35" s="1"/>
      <c r="B35" s="1"/>
      <c r="N35" s="21" t="str">
        <f t="shared" si="16"/>
        <v>Rory McIlroyBranden Grace</v>
      </c>
      <c r="O35" s="22">
        <f t="shared" si="7"/>
        <v>0</v>
      </c>
      <c r="P35" s="25" t="str">
        <f t="shared" si="12"/>
        <v/>
      </c>
      <c r="Q35" s="25" t="str">
        <f t="shared" si="13"/>
        <v/>
      </c>
      <c r="R35" s="25" t="str">
        <f t="shared" si="14"/>
        <v/>
      </c>
      <c r="S35" s="25" t="str">
        <f t="shared" si="15"/>
        <v/>
      </c>
    </row>
    <row r="36" spans="1:19" x14ac:dyDescent="0.25">
      <c r="A36" s="1"/>
      <c r="B36" s="1"/>
      <c r="N36" s="21" t="str">
        <f t="shared" si="16"/>
        <v>Rory McIlroySergio Garcia</v>
      </c>
      <c r="O36" s="22">
        <f t="shared" si="7"/>
        <v>0</v>
      </c>
      <c r="P36" s="25" t="str">
        <f t="shared" si="12"/>
        <v/>
      </c>
      <c r="Q36" s="25" t="str">
        <f t="shared" si="13"/>
        <v/>
      </c>
      <c r="R36" s="25" t="str">
        <f t="shared" si="14"/>
        <v/>
      </c>
      <c r="S36" s="25" t="str">
        <f t="shared" si="15"/>
        <v/>
      </c>
    </row>
    <row r="37" spans="1:19" x14ac:dyDescent="0.25">
      <c r="A37" s="1"/>
      <c r="B37" s="1"/>
      <c r="N37" s="21" t="str">
        <f t="shared" si="16"/>
        <v>Rory McIlroyHideki Matsuyama</v>
      </c>
      <c r="O37" s="22">
        <f t="shared" si="7"/>
        <v>0</v>
      </c>
      <c r="P37" s="25" t="str">
        <f t="shared" si="12"/>
        <v/>
      </c>
      <c r="Q37" s="25" t="str">
        <f t="shared" si="13"/>
        <v/>
      </c>
      <c r="R37" s="25" t="str">
        <f t="shared" si="14"/>
        <v/>
      </c>
      <c r="S37" s="25" t="str">
        <f t="shared" si="15"/>
        <v/>
      </c>
    </row>
    <row r="38" spans="1:19" x14ac:dyDescent="0.25">
      <c r="A38" s="1"/>
      <c r="B38" s="1"/>
      <c r="N38" s="21" t="str">
        <f t="shared" si="16"/>
        <v>Rory McIlroyJim Furyk</v>
      </c>
      <c r="O38" s="22">
        <f t="shared" si="7"/>
        <v>0</v>
      </c>
      <c r="P38" s="25" t="str">
        <f t="shared" si="12"/>
        <v/>
      </c>
      <c r="Q38" s="25" t="str">
        <f t="shared" si="13"/>
        <v/>
      </c>
      <c r="R38" s="25" t="str">
        <f t="shared" si="14"/>
        <v/>
      </c>
      <c r="S38" s="25" t="str">
        <f t="shared" si="15"/>
        <v/>
      </c>
    </row>
    <row r="39" spans="1:19" x14ac:dyDescent="0.25">
      <c r="A39" s="1"/>
      <c r="N39" s="21" t="str">
        <f t="shared" si="16"/>
        <v>Rory McIlroyBrandt Snedeker</v>
      </c>
      <c r="O39" s="22">
        <f t="shared" si="7"/>
        <v>0</v>
      </c>
      <c r="P39" s="25" t="str">
        <f t="shared" si="12"/>
        <v/>
      </c>
      <c r="Q39" s="25" t="str">
        <f t="shared" si="13"/>
        <v/>
      </c>
      <c r="R39" s="25" t="str">
        <f t="shared" si="14"/>
        <v/>
      </c>
      <c r="S39" s="25" t="str">
        <f t="shared" si="15"/>
        <v/>
      </c>
    </row>
    <row r="40" spans="1:19" x14ac:dyDescent="0.25">
      <c r="A40" s="1"/>
      <c r="N40" s="21" t="str">
        <f t="shared" si="16"/>
        <v>Rory McIlroyPhil Mickelson</v>
      </c>
      <c r="O40" s="22">
        <f t="shared" si="7"/>
        <v>0</v>
      </c>
      <c r="P40" s="25" t="str">
        <f t="shared" si="12"/>
        <v/>
      </c>
      <c r="Q40" s="25" t="str">
        <f t="shared" si="13"/>
        <v/>
      </c>
      <c r="R40" s="25" t="str">
        <f t="shared" si="14"/>
        <v/>
      </c>
      <c r="S40" s="25" t="str">
        <f t="shared" si="15"/>
        <v/>
      </c>
    </row>
    <row r="41" spans="1:19" x14ac:dyDescent="0.25">
      <c r="A41" s="1"/>
      <c r="N41" s="21" t="str">
        <f t="shared" si="16"/>
        <v>Rory McIlroyLouis Oosthuizen</v>
      </c>
      <c r="O41" s="22">
        <f t="shared" si="7"/>
        <v>0</v>
      </c>
      <c r="P41" s="25" t="str">
        <f t="shared" si="12"/>
        <v/>
      </c>
      <c r="Q41" s="25" t="str">
        <f t="shared" si="13"/>
        <v/>
      </c>
      <c r="R41" s="25" t="str">
        <f t="shared" si="14"/>
        <v/>
      </c>
      <c r="S41" s="25" t="str">
        <f t="shared" si="15"/>
        <v/>
      </c>
    </row>
    <row r="42" spans="1:19" x14ac:dyDescent="0.25">
      <c r="A42" s="1"/>
      <c r="N42" s="21" t="str">
        <f t="shared" si="16"/>
        <v>Rory McIlroyBrooks Koepka</v>
      </c>
      <c r="O42" s="22">
        <f t="shared" si="7"/>
        <v>0</v>
      </c>
      <c r="P42" s="25" t="str">
        <f t="shared" si="12"/>
        <v/>
      </c>
      <c r="Q42" s="25" t="str">
        <f t="shared" si="13"/>
        <v/>
      </c>
      <c r="R42" s="25" t="str">
        <f t="shared" si="14"/>
        <v/>
      </c>
      <c r="S42" s="25" t="str">
        <f t="shared" si="15"/>
        <v/>
      </c>
    </row>
    <row r="43" spans="1:19" x14ac:dyDescent="0.25">
      <c r="A43" s="1"/>
      <c r="N43" s="21" t="str">
        <f t="shared" si="16"/>
        <v>Rory McIlroyZach Johnson</v>
      </c>
      <c r="O43" s="22">
        <f t="shared" si="7"/>
        <v>0</v>
      </c>
      <c r="P43" s="25" t="str">
        <f t="shared" si="12"/>
        <v/>
      </c>
      <c r="Q43" s="25" t="str">
        <f t="shared" si="13"/>
        <v/>
      </c>
      <c r="R43" s="25" t="str">
        <f t="shared" si="14"/>
        <v/>
      </c>
      <c r="S43" s="25" t="str">
        <f t="shared" si="15"/>
        <v/>
      </c>
    </row>
    <row r="44" spans="1:19" x14ac:dyDescent="0.25">
      <c r="A44" s="1"/>
      <c r="N44" s="21" t="str">
        <f t="shared" si="16"/>
        <v>Rory McIlroyKevin Kisner</v>
      </c>
      <c r="O44" s="22">
        <f t="shared" si="7"/>
        <v>0</v>
      </c>
      <c r="P44" s="25" t="str">
        <f t="shared" si="12"/>
        <v/>
      </c>
      <c r="Q44" s="25" t="str">
        <f t="shared" si="13"/>
        <v/>
      </c>
      <c r="R44" s="25" t="str">
        <f t="shared" si="14"/>
        <v/>
      </c>
      <c r="S44" s="25" t="str">
        <f t="shared" si="15"/>
        <v/>
      </c>
    </row>
    <row r="45" spans="1:19" x14ac:dyDescent="0.25">
      <c r="A45" s="1"/>
      <c r="N45" s="21" t="str">
        <f t="shared" si="16"/>
        <v>Rory McIlroyJimmy Walker</v>
      </c>
      <c r="O45" s="22">
        <f t="shared" si="7"/>
        <v>0</v>
      </c>
      <c r="P45" s="25" t="str">
        <f t="shared" si="12"/>
        <v/>
      </c>
      <c r="Q45" s="25" t="str">
        <f t="shared" si="13"/>
        <v/>
      </c>
      <c r="R45" s="25" t="str">
        <f t="shared" si="14"/>
        <v/>
      </c>
      <c r="S45" s="25" t="str">
        <f t="shared" si="15"/>
        <v/>
      </c>
    </row>
    <row r="46" spans="1:19" x14ac:dyDescent="0.25">
      <c r="A46" s="1"/>
      <c r="N46" s="21" t="str">
        <f t="shared" si="16"/>
        <v>Rory McIlroyJ.B. Holmes</v>
      </c>
      <c r="O46" s="22">
        <f t="shared" si="7"/>
        <v>0</v>
      </c>
      <c r="P46" s="25" t="str">
        <f t="shared" si="12"/>
        <v/>
      </c>
      <c r="Q46" s="25" t="str">
        <f t="shared" si="13"/>
        <v/>
      </c>
      <c r="R46" s="25" t="str">
        <f t="shared" si="14"/>
        <v/>
      </c>
      <c r="S46" s="25" t="str">
        <f t="shared" si="15"/>
        <v/>
      </c>
    </row>
    <row r="47" spans="1:19" x14ac:dyDescent="0.25">
      <c r="A47" s="1"/>
      <c r="N47" s="21" t="str">
        <f t="shared" si="16"/>
        <v>Rory McIlroyShane Lowry</v>
      </c>
      <c r="O47" s="22">
        <f t="shared" si="7"/>
        <v>0</v>
      </c>
      <c r="P47" s="25" t="str">
        <f t="shared" si="12"/>
        <v/>
      </c>
      <c r="Q47" s="25" t="str">
        <f t="shared" si="13"/>
        <v/>
      </c>
      <c r="R47" s="25" t="str">
        <f t="shared" si="14"/>
        <v/>
      </c>
      <c r="S47" s="25" t="str">
        <f t="shared" si="15"/>
        <v/>
      </c>
    </row>
    <row r="48" spans="1:19" x14ac:dyDescent="0.25">
      <c r="A48" s="1"/>
      <c r="N48" s="21" t="str">
        <f t="shared" si="16"/>
        <v>Rory McIlroyPaul Casey</v>
      </c>
      <c r="O48" s="22">
        <f t="shared" si="7"/>
        <v>0</v>
      </c>
      <c r="P48" s="25" t="str">
        <f t="shared" si="12"/>
        <v/>
      </c>
      <c r="Q48" s="25" t="str">
        <f t="shared" si="13"/>
        <v/>
      </c>
      <c r="R48" s="25" t="str">
        <f t="shared" si="14"/>
        <v/>
      </c>
      <c r="S48" s="25" t="str">
        <f t="shared" si="15"/>
        <v/>
      </c>
    </row>
    <row r="49" spans="14:19" x14ac:dyDescent="0.25">
      <c r="N49" s="21" t="str">
        <f t="shared" ref="N49:N70" si="17">CONCATENATE(K$4,K5)</f>
        <v>Jason DayBubba Watson</v>
      </c>
      <c r="O49" s="22">
        <f t="shared" si="7"/>
        <v>0</v>
      </c>
      <c r="P49" s="25" t="str">
        <f t="shared" si="12"/>
        <v/>
      </c>
      <c r="Q49" s="25" t="str">
        <f t="shared" si="13"/>
        <v/>
      </c>
      <c r="R49" s="25" t="str">
        <f t="shared" si="14"/>
        <v/>
      </c>
      <c r="S49" s="25" t="str">
        <f t="shared" si="15"/>
        <v/>
      </c>
    </row>
    <row r="50" spans="14:19" x14ac:dyDescent="0.25">
      <c r="N50" s="21" t="str">
        <f t="shared" si="17"/>
        <v>Jason DayRickie Fowler</v>
      </c>
      <c r="O50" s="22">
        <f t="shared" si="7"/>
        <v>0</v>
      </c>
    </row>
    <row r="51" spans="14:19" x14ac:dyDescent="0.25">
      <c r="N51" s="21" t="str">
        <f t="shared" si="17"/>
        <v>Jason DayAdam Scott</v>
      </c>
      <c r="O51" s="22">
        <f t="shared" si="7"/>
        <v>0</v>
      </c>
    </row>
    <row r="52" spans="14:19" x14ac:dyDescent="0.25">
      <c r="N52" s="21" t="str">
        <f t="shared" si="17"/>
        <v>Jason DayHenrik Stenson</v>
      </c>
      <c r="O52" s="22">
        <f t="shared" si="7"/>
        <v>0</v>
      </c>
    </row>
    <row r="53" spans="14:19" x14ac:dyDescent="0.25">
      <c r="N53" s="21" t="str">
        <f t="shared" si="17"/>
        <v>Jason DayJustin Rose</v>
      </c>
      <c r="O53" s="22">
        <f t="shared" si="7"/>
        <v>0</v>
      </c>
    </row>
    <row r="54" spans="14:19" x14ac:dyDescent="0.25">
      <c r="N54" s="21" t="str">
        <f t="shared" si="17"/>
        <v>Jason DayDustin Johnson</v>
      </c>
      <c r="O54" s="22">
        <f t="shared" si="7"/>
        <v>0</v>
      </c>
    </row>
    <row r="55" spans="14:19" x14ac:dyDescent="0.25">
      <c r="N55" s="21" t="str">
        <f t="shared" si="17"/>
        <v>Jason DayPatrick Reed</v>
      </c>
      <c r="O55" s="22">
        <f t="shared" si="7"/>
        <v>0</v>
      </c>
    </row>
    <row r="56" spans="14:19" x14ac:dyDescent="0.25">
      <c r="N56" s="21" t="str">
        <f t="shared" si="17"/>
        <v>Jason DayDanny Willett</v>
      </c>
      <c r="O56" s="22">
        <f t="shared" si="7"/>
        <v>0</v>
      </c>
    </row>
    <row r="57" spans="14:19" x14ac:dyDescent="0.25">
      <c r="N57" s="21" t="str">
        <f t="shared" si="17"/>
        <v>Jason DayBranden Grace</v>
      </c>
      <c r="O57" s="22">
        <f t="shared" si="7"/>
        <v>0</v>
      </c>
    </row>
    <row r="58" spans="14:19" x14ac:dyDescent="0.25">
      <c r="N58" s="21" t="str">
        <f t="shared" si="17"/>
        <v>Jason DaySergio Garcia</v>
      </c>
      <c r="O58" s="22">
        <f t="shared" si="7"/>
        <v>0</v>
      </c>
    </row>
    <row r="59" spans="14:19" x14ac:dyDescent="0.25">
      <c r="N59" s="21" t="str">
        <f t="shared" si="17"/>
        <v>Jason DayHideki Matsuyama</v>
      </c>
      <c r="O59" s="22">
        <f t="shared" si="7"/>
        <v>0</v>
      </c>
    </row>
    <row r="60" spans="14:19" x14ac:dyDescent="0.25">
      <c r="N60" s="21" t="str">
        <f t="shared" si="17"/>
        <v>Jason DayJim Furyk</v>
      </c>
      <c r="O60" s="22">
        <f t="shared" si="7"/>
        <v>0</v>
      </c>
    </row>
    <row r="61" spans="14:19" x14ac:dyDescent="0.25">
      <c r="N61" s="21" t="str">
        <f t="shared" si="17"/>
        <v>Jason DayBrandt Snedeker</v>
      </c>
      <c r="O61" s="22">
        <f t="shared" si="7"/>
        <v>0</v>
      </c>
    </row>
    <row r="62" spans="14:19" x14ac:dyDescent="0.25">
      <c r="N62" s="21" t="str">
        <f t="shared" si="17"/>
        <v>Jason DayPhil Mickelson</v>
      </c>
      <c r="O62" s="22">
        <f t="shared" si="7"/>
        <v>0</v>
      </c>
    </row>
    <row r="63" spans="14:19" x14ac:dyDescent="0.25">
      <c r="N63" s="21" t="str">
        <f t="shared" si="17"/>
        <v>Jason DayLouis Oosthuizen</v>
      </c>
      <c r="O63" s="22">
        <f t="shared" si="7"/>
        <v>0</v>
      </c>
    </row>
    <row r="64" spans="14:19" x14ac:dyDescent="0.25">
      <c r="N64" s="21" t="str">
        <f t="shared" si="17"/>
        <v>Jason DayBrooks Koepka</v>
      </c>
      <c r="O64" s="22">
        <f t="shared" si="7"/>
        <v>0</v>
      </c>
    </row>
    <row r="65" spans="14:15" x14ac:dyDescent="0.25">
      <c r="N65" s="21" t="str">
        <f t="shared" si="17"/>
        <v>Jason DayZach Johnson</v>
      </c>
      <c r="O65" s="22">
        <f t="shared" si="7"/>
        <v>0</v>
      </c>
    </row>
    <row r="66" spans="14:15" x14ac:dyDescent="0.25">
      <c r="N66" s="21" t="str">
        <f t="shared" si="17"/>
        <v>Jason DayKevin Kisner</v>
      </c>
      <c r="O66" s="22">
        <f t="shared" si="7"/>
        <v>0</v>
      </c>
    </row>
    <row r="67" spans="14:15" x14ac:dyDescent="0.25">
      <c r="N67" s="21" t="str">
        <f t="shared" si="17"/>
        <v>Jason DayJimmy Walker</v>
      </c>
      <c r="O67" s="22">
        <f t="shared" ref="O67:O130" si="18">COUNTIF(P:P, N67) + COUNTIF(Q:Q,N67)+ COUNTIF(R:R,N67)+ COUNTIF(S:S,N67)</f>
        <v>0</v>
      </c>
    </row>
    <row r="68" spans="14:15" x14ac:dyDescent="0.25">
      <c r="N68" s="21" t="str">
        <f t="shared" si="17"/>
        <v>Jason DayJ.B. Holmes</v>
      </c>
      <c r="O68" s="22">
        <f t="shared" si="18"/>
        <v>0</v>
      </c>
    </row>
    <row r="69" spans="14:15" x14ac:dyDescent="0.25">
      <c r="N69" s="21" t="str">
        <f t="shared" si="17"/>
        <v>Jason DayShane Lowry</v>
      </c>
      <c r="O69" s="22">
        <f t="shared" si="18"/>
        <v>0</v>
      </c>
    </row>
    <row r="70" spans="14:15" x14ac:dyDescent="0.25">
      <c r="N70" s="21" t="str">
        <f t="shared" si="17"/>
        <v>Jason DayPaul Casey</v>
      </c>
      <c r="O70" s="22">
        <f t="shared" si="18"/>
        <v>0</v>
      </c>
    </row>
    <row r="71" spans="14:15" x14ac:dyDescent="0.25">
      <c r="N71" s="21" t="str">
        <f t="shared" ref="N71:N91" si="19">CONCATENATE(K$5,K6)</f>
        <v>Bubba WatsonRickie Fowler</v>
      </c>
      <c r="O71" s="22">
        <f t="shared" si="18"/>
        <v>0</v>
      </c>
    </row>
    <row r="72" spans="14:15" x14ac:dyDescent="0.25">
      <c r="N72" s="21" t="str">
        <f t="shared" si="19"/>
        <v>Bubba WatsonAdam Scott</v>
      </c>
      <c r="O72" s="22">
        <f t="shared" si="18"/>
        <v>0</v>
      </c>
    </row>
    <row r="73" spans="14:15" x14ac:dyDescent="0.25">
      <c r="N73" s="21" t="str">
        <f t="shared" si="19"/>
        <v>Bubba WatsonHenrik Stenson</v>
      </c>
      <c r="O73" s="22">
        <f t="shared" si="18"/>
        <v>0</v>
      </c>
    </row>
    <row r="74" spans="14:15" x14ac:dyDescent="0.25">
      <c r="N74" s="21" t="str">
        <f t="shared" si="19"/>
        <v>Bubba WatsonJustin Rose</v>
      </c>
      <c r="O74" s="22">
        <f t="shared" si="18"/>
        <v>0</v>
      </c>
    </row>
    <row r="75" spans="14:15" x14ac:dyDescent="0.25">
      <c r="N75" s="21" t="str">
        <f t="shared" si="19"/>
        <v>Bubba WatsonDustin Johnson</v>
      </c>
      <c r="O75" s="22">
        <f t="shared" si="18"/>
        <v>0</v>
      </c>
    </row>
    <row r="76" spans="14:15" x14ac:dyDescent="0.25">
      <c r="N76" s="21" t="str">
        <f t="shared" si="19"/>
        <v>Bubba WatsonPatrick Reed</v>
      </c>
      <c r="O76" s="22">
        <f t="shared" si="18"/>
        <v>0</v>
      </c>
    </row>
    <row r="77" spans="14:15" x14ac:dyDescent="0.25">
      <c r="N77" s="21" t="str">
        <f t="shared" si="19"/>
        <v>Bubba WatsonDanny Willett</v>
      </c>
      <c r="O77" s="22">
        <f t="shared" si="18"/>
        <v>0</v>
      </c>
    </row>
    <row r="78" spans="14:15" x14ac:dyDescent="0.25">
      <c r="N78" s="21" t="str">
        <f t="shared" si="19"/>
        <v>Bubba WatsonBranden Grace</v>
      </c>
      <c r="O78" s="22">
        <f t="shared" si="18"/>
        <v>0</v>
      </c>
    </row>
    <row r="79" spans="14:15" x14ac:dyDescent="0.25">
      <c r="N79" s="21" t="str">
        <f t="shared" si="19"/>
        <v>Bubba WatsonSergio Garcia</v>
      </c>
      <c r="O79" s="22">
        <f t="shared" si="18"/>
        <v>0</v>
      </c>
    </row>
    <row r="80" spans="14:15" x14ac:dyDescent="0.25">
      <c r="N80" s="21" t="str">
        <f t="shared" si="19"/>
        <v>Bubba WatsonHideki Matsuyama</v>
      </c>
      <c r="O80" s="22">
        <f t="shared" si="18"/>
        <v>0</v>
      </c>
    </row>
    <row r="81" spans="14:15" x14ac:dyDescent="0.25">
      <c r="N81" s="21" t="str">
        <f t="shared" si="19"/>
        <v>Bubba WatsonJim Furyk</v>
      </c>
      <c r="O81" s="22">
        <f t="shared" si="18"/>
        <v>0</v>
      </c>
    </row>
    <row r="82" spans="14:15" x14ac:dyDescent="0.25">
      <c r="N82" s="21" t="str">
        <f t="shared" si="19"/>
        <v>Bubba WatsonBrandt Snedeker</v>
      </c>
      <c r="O82" s="22">
        <f t="shared" si="18"/>
        <v>0</v>
      </c>
    </row>
    <row r="83" spans="14:15" x14ac:dyDescent="0.25">
      <c r="N83" s="21" t="str">
        <f t="shared" si="19"/>
        <v>Bubba WatsonPhil Mickelson</v>
      </c>
      <c r="O83" s="22">
        <f t="shared" si="18"/>
        <v>0</v>
      </c>
    </row>
    <row r="84" spans="14:15" x14ac:dyDescent="0.25">
      <c r="N84" s="21" t="str">
        <f t="shared" si="19"/>
        <v>Bubba WatsonLouis Oosthuizen</v>
      </c>
      <c r="O84" s="22">
        <f t="shared" si="18"/>
        <v>0</v>
      </c>
    </row>
    <row r="85" spans="14:15" x14ac:dyDescent="0.25">
      <c r="N85" s="21" t="str">
        <f t="shared" si="19"/>
        <v>Bubba WatsonBrooks Koepka</v>
      </c>
      <c r="O85" s="22">
        <f t="shared" si="18"/>
        <v>0</v>
      </c>
    </row>
    <row r="86" spans="14:15" x14ac:dyDescent="0.25">
      <c r="N86" s="21" t="str">
        <f t="shared" si="19"/>
        <v>Bubba WatsonZach Johnson</v>
      </c>
      <c r="O86" s="22">
        <f t="shared" si="18"/>
        <v>0</v>
      </c>
    </row>
    <row r="87" spans="14:15" x14ac:dyDescent="0.25">
      <c r="N87" s="21" t="str">
        <f t="shared" si="19"/>
        <v>Bubba WatsonKevin Kisner</v>
      </c>
      <c r="O87" s="22">
        <f t="shared" si="18"/>
        <v>0</v>
      </c>
    </row>
    <row r="88" spans="14:15" x14ac:dyDescent="0.25">
      <c r="N88" s="21" t="str">
        <f t="shared" si="19"/>
        <v>Bubba WatsonJimmy Walker</v>
      </c>
      <c r="O88" s="22">
        <f t="shared" si="18"/>
        <v>0</v>
      </c>
    </row>
    <row r="89" spans="14:15" x14ac:dyDescent="0.25">
      <c r="N89" s="21" t="str">
        <f t="shared" si="19"/>
        <v>Bubba WatsonJ.B. Holmes</v>
      </c>
      <c r="O89" s="22">
        <f t="shared" si="18"/>
        <v>0</v>
      </c>
    </row>
    <row r="90" spans="14:15" x14ac:dyDescent="0.25">
      <c r="N90" s="21" t="str">
        <f t="shared" si="19"/>
        <v>Bubba WatsonShane Lowry</v>
      </c>
      <c r="O90" s="22">
        <f t="shared" si="18"/>
        <v>0</v>
      </c>
    </row>
    <row r="91" spans="14:15" x14ac:dyDescent="0.25">
      <c r="N91" s="21" t="str">
        <f t="shared" si="19"/>
        <v>Bubba WatsonPaul Casey</v>
      </c>
      <c r="O91" s="22">
        <f t="shared" si="18"/>
        <v>0</v>
      </c>
    </row>
    <row r="92" spans="14:15" x14ac:dyDescent="0.25">
      <c r="N92" s="21" t="str">
        <f>CONCATENATE(K$6,K7)</f>
        <v>Rickie FowlerAdam Scott</v>
      </c>
      <c r="O92" s="22">
        <f t="shared" si="18"/>
        <v>0</v>
      </c>
    </row>
    <row r="93" spans="14:15" x14ac:dyDescent="0.25">
      <c r="N93" s="21" t="str">
        <f t="shared" ref="N93:N111" si="20">CONCATENATE(K$6,K8)</f>
        <v>Rickie FowlerHenrik Stenson</v>
      </c>
      <c r="O93" s="22">
        <f t="shared" si="18"/>
        <v>0</v>
      </c>
    </row>
    <row r="94" spans="14:15" x14ac:dyDescent="0.25">
      <c r="N94" s="21" t="str">
        <f t="shared" si="20"/>
        <v>Rickie FowlerJustin Rose</v>
      </c>
      <c r="O94" s="22">
        <f t="shared" si="18"/>
        <v>0</v>
      </c>
    </row>
    <row r="95" spans="14:15" x14ac:dyDescent="0.25">
      <c r="N95" s="21" t="str">
        <f t="shared" si="20"/>
        <v>Rickie FowlerDustin Johnson</v>
      </c>
      <c r="O95" s="22">
        <f t="shared" si="18"/>
        <v>0</v>
      </c>
    </row>
    <row r="96" spans="14:15" x14ac:dyDescent="0.25">
      <c r="N96" s="21" t="str">
        <f t="shared" si="20"/>
        <v>Rickie FowlerPatrick Reed</v>
      </c>
      <c r="O96" s="22">
        <f t="shared" si="18"/>
        <v>0</v>
      </c>
    </row>
    <row r="97" spans="14:15" x14ac:dyDescent="0.25">
      <c r="N97" s="21" t="str">
        <f t="shared" si="20"/>
        <v>Rickie FowlerDanny Willett</v>
      </c>
      <c r="O97" s="22">
        <f t="shared" si="18"/>
        <v>0</v>
      </c>
    </row>
    <row r="98" spans="14:15" x14ac:dyDescent="0.25">
      <c r="N98" s="21" t="str">
        <f t="shared" si="20"/>
        <v>Rickie FowlerBranden Grace</v>
      </c>
      <c r="O98" s="22">
        <f t="shared" si="18"/>
        <v>0</v>
      </c>
    </row>
    <row r="99" spans="14:15" x14ac:dyDescent="0.25">
      <c r="N99" s="21" t="str">
        <f t="shared" si="20"/>
        <v>Rickie FowlerSergio Garcia</v>
      </c>
      <c r="O99" s="22">
        <f t="shared" si="18"/>
        <v>0</v>
      </c>
    </row>
    <row r="100" spans="14:15" x14ac:dyDescent="0.25">
      <c r="N100" s="21" t="str">
        <f t="shared" si="20"/>
        <v>Rickie FowlerHideki Matsuyama</v>
      </c>
      <c r="O100" s="22">
        <f t="shared" si="18"/>
        <v>0</v>
      </c>
    </row>
    <row r="101" spans="14:15" x14ac:dyDescent="0.25">
      <c r="N101" s="21" t="str">
        <f t="shared" si="20"/>
        <v>Rickie FowlerJim Furyk</v>
      </c>
      <c r="O101" s="22">
        <f t="shared" si="18"/>
        <v>0</v>
      </c>
    </row>
    <row r="102" spans="14:15" x14ac:dyDescent="0.25">
      <c r="N102" s="21" t="str">
        <f t="shared" si="20"/>
        <v>Rickie FowlerBrandt Snedeker</v>
      </c>
      <c r="O102" s="22">
        <f t="shared" si="18"/>
        <v>0</v>
      </c>
    </row>
    <row r="103" spans="14:15" x14ac:dyDescent="0.25">
      <c r="N103" s="21" t="str">
        <f t="shared" si="20"/>
        <v>Rickie FowlerPhil Mickelson</v>
      </c>
      <c r="O103" s="22">
        <f t="shared" si="18"/>
        <v>0</v>
      </c>
    </row>
    <row r="104" spans="14:15" x14ac:dyDescent="0.25">
      <c r="N104" s="21" t="str">
        <f t="shared" si="20"/>
        <v>Rickie FowlerLouis Oosthuizen</v>
      </c>
      <c r="O104" s="22">
        <f t="shared" si="18"/>
        <v>0</v>
      </c>
    </row>
    <row r="105" spans="14:15" x14ac:dyDescent="0.25">
      <c r="N105" s="21" t="str">
        <f t="shared" si="20"/>
        <v>Rickie FowlerBrooks Koepka</v>
      </c>
      <c r="O105" s="22">
        <f t="shared" si="18"/>
        <v>0</v>
      </c>
    </row>
    <row r="106" spans="14:15" x14ac:dyDescent="0.25">
      <c r="N106" s="21" t="str">
        <f>CONCATENATE(K$6,K21)</f>
        <v>Rickie FowlerZach Johnson</v>
      </c>
      <c r="O106" s="22">
        <f t="shared" si="18"/>
        <v>0</v>
      </c>
    </row>
    <row r="107" spans="14:15" x14ac:dyDescent="0.25">
      <c r="N107" s="21" t="str">
        <f t="shared" si="20"/>
        <v>Rickie FowlerKevin Kisner</v>
      </c>
      <c r="O107" s="22">
        <f t="shared" si="18"/>
        <v>0</v>
      </c>
    </row>
    <row r="108" spans="14:15" x14ac:dyDescent="0.25">
      <c r="N108" s="21" t="str">
        <f>CONCATENATE(K$6,K23)</f>
        <v>Rickie FowlerJimmy Walker</v>
      </c>
      <c r="O108" s="22">
        <f t="shared" si="18"/>
        <v>0</v>
      </c>
    </row>
    <row r="109" spans="14:15" x14ac:dyDescent="0.25">
      <c r="N109" s="21" t="str">
        <f t="shared" si="20"/>
        <v>Rickie FowlerJ.B. Holmes</v>
      </c>
      <c r="O109" s="22">
        <f t="shared" si="18"/>
        <v>0</v>
      </c>
    </row>
    <row r="110" spans="14:15" x14ac:dyDescent="0.25">
      <c r="N110" s="21" t="str">
        <f>CONCATENATE(K$6,K25)</f>
        <v>Rickie FowlerShane Lowry</v>
      </c>
      <c r="O110" s="22">
        <f t="shared" si="18"/>
        <v>0</v>
      </c>
    </row>
    <row r="111" spans="14:15" x14ac:dyDescent="0.25">
      <c r="N111" s="21" t="str">
        <f t="shared" si="20"/>
        <v>Rickie FowlerPaul Casey</v>
      </c>
      <c r="O111" s="22">
        <f t="shared" si="18"/>
        <v>0</v>
      </c>
    </row>
    <row r="112" spans="14:15" x14ac:dyDescent="0.25">
      <c r="N112" s="21" t="str">
        <f>CONCATENATE(K$7,K8)</f>
        <v>Adam ScottHenrik Stenson</v>
      </c>
      <c r="O112" s="22">
        <f t="shared" si="18"/>
        <v>0</v>
      </c>
    </row>
    <row r="113" spans="14:15" x14ac:dyDescent="0.25">
      <c r="N113" s="21" t="str">
        <f t="shared" ref="N113:N130" si="21">CONCATENATE(K$7,K9)</f>
        <v>Adam ScottJustin Rose</v>
      </c>
      <c r="O113" s="22">
        <f t="shared" si="18"/>
        <v>0</v>
      </c>
    </row>
    <row r="114" spans="14:15" x14ac:dyDescent="0.25">
      <c r="N114" s="21" t="str">
        <f t="shared" si="21"/>
        <v>Adam ScottDustin Johnson</v>
      </c>
      <c r="O114" s="22">
        <f t="shared" si="18"/>
        <v>0</v>
      </c>
    </row>
    <row r="115" spans="14:15" x14ac:dyDescent="0.25">
      <c r="N115" s="21" t="str">
        <f t="shared" si="21"/>
        <v>Adam ScottPatrick Reed</v>
      </c>
      <c r="O115" s="22">
        <f t="shared" si="18"/>
        <v>0</v>
      </c>
    </row>
    <row r="116" spans="14:15" x14ac:dyDescent="0.25">
      <c r="N116" s="21" t="str">
        <f t="shared" si="21"/>
        <v>Adam ScottDanny Willett</v>
      </c>
      <c r="O116" s="22">
        <f t="shared" si="18"/>
        <v>0</v>
      </c>
    </row>
    <row r="117" spans="14:15" x14ac:dyDescent="0.25">
      <c r="N117" s="21" t="str">
        <f t="shared" si="21"/>
        <v>Adam ScottBranden Grace</v>
      </c>
      <c r="O117" s="22">
        <f t="shared" si="18"/>
        <v>0</v>
      </c>
    </row>
    <row r="118" spans="14:15" x14ac:dyDescent="0.25">
      <c r="N118" s="21" t="str">
        <f t="shared" si="21"/>
        <v>Adam ScottSergio Garcia</v>
      </c>
      <c r="O118" s="22">
        <f t="shared" si="18"/>
        <v>0</v>
      </c>
    </row>
    <row r="119" spans="14:15" x14ac:dyDescent="0.25">
      <c r="N119" s="21" t="str">
        <f t="shared" si="21"/>
        <v>Adam ScottHideki Matsuyama</v>
      </c>
      <c r="O119" s="22">
        <f t="shared" si="18"/>
        <v>0</v>
      </c>
    </row>
    <row r="120" spans="14:15" x14ac:dyDescent="0.25">
      <c r="N120" s="21" t="str">
        <f t="shared" si="21"/>
        <v>Adam ScottJim Furyk</v>
      </c>
      <c r="O120" s="22">
        <f t="shared" si="18"/>
        <v>0</v>
      </c>
    </row>
    <row r="121" spans="14:15" x14ac:dyDescent="0.25">
      <c r="N121" s="21" t="str">
        <f t="shared" si="21"/>
        <v>Adam ScottBrandt Snedeker</v>
      </c>
      <c r="O121" s="22">
        <f t="shared" si="18"/>
        <v>0</v>
      </c>
    </row>
    <row r="122" spans="14:15" x14ac:dyDescent="0.25">
      <c r="N122" s="21" t="str">
        <f t="shared" si="21"/>
        <v>Adam ScottPhil Mickelson</v>
      </c>
      <c r="O122" s="22">
        <f t="shared" si="18"/>
        <v>0</v>
      </c>
    </row>
    <row r="123" spans="14:15" x14ac:dyDescent="0.25">
      <c r="N123" s="21" t="str">
        <f t="shared" si="21"/>
        <v>Adam ScottLouis Oosthuizen</v>
      </c>
      <c r="O123" s="22">
        <f t="shared" si="18"/>
        <v>0</v>
      </c>
    </row>
    <row r="124" spans="14:15" x14ac:dyDescent="0.25">
      <c r="N124" s="21" t="str">
        <f t="shared" si="21"/>
        <v>Adam ScottBrooks Koepka</v>
      </c>
      <c r="O124" s="22">
        <f t="shared" si="18"/>
        <v>0</v>
      </c>
    </row>
    <row r="125" spans="14:15" x14ac:dyDescent="0.25">
      <c r="N125" s="21" t="str">
        <f t="shared" si="21"/>
        <v>Adam ScottZach Johnson</v>
      </c>
      <c r="O125" s="22">
        <f t="shared" si="18"/>
        <v>0</v>
      </c>
    </row>
    <row r="126" spans="14:15" x14ac:dyDescent="0.25">
      <c r="N126" s="21" t="str">
        <f>CONCATENATE(K$7,K22)</f>
        <v>Adam ScottKevin Kisner</v>
      </c>
      <c r="O126" s="22">
        <f t="shared" si="18"/>
        <v>0</v>
      </c>
    </row>
    <row r="127" spans="14:15" x14ac:dyDescent="0.25">
      <c r="N127" s="21" t="str">
        <f t="shared" si="21"/>
        <v>Adam ScottJimmy Walker</v>
      </c>
      <c r="O127" s="22">
        <f t="shared" si="18"/>
        <v>0</v>
      </c>
    </row>
    <row r="128" spans="14:15" x14ac:dyDescent="0.25">
      <c r="N128" s="21" t="str">
        <f t="shared" si="21"/>
        <v>Adam ScottJ.B. Holmes</v>
      </c>
      <c r="O128" s="22">
        <f t="shared" si="18"/>
        <v>0</v>
      </c>
    </row>
    <row r="129" spans="14:15" x14ac:dyDescent="0.25">
      <c r="N129" s="21" t="str">
        <f t="shared" si="21"/>
        <v>Adam ScottShane Lowry</v>
      </c>
      <c r="O129" s="22">
        <f t="shared" si="18"/>
        <v>0</v>
      </c>
    </row>
    <row r="130" spans="14:15" x14ac:dyDescent="0.25">
      <c r="N130" s="21" t="str">
        <f t="shared" si="21"/>
        <v>Adam ScottPaul Casey</v>
      </c>
      <c r="O130" s="22">
        <f t="shared" si="18"/>
        <v>0</v>
      </c>
    </row>
    <row r="131" spans="14:15" x14ac:dyDescent="0.25">
      <c r="N131" s="21" t="str">
        <f>CONCATENATE(K$8,K9)</f>
        <v>Henrik StensonJustin Rose</v>
      </c>
      <c r="O131" s="22">
        <f t="shared" ref="O131:O194" si="22">COUNTIF(P:P, N131) + COUNTIF(Q:Q,N131)+ COUNTIF(R:R,N131)+ COUNTIF(S:S,N131)</f>
        <v>0</v>
      </c>
    </row>
    <row r="132" spans="14:15" x14ac:dyDescent="0.25">
      <c r="N132" s="21" t="str">
        <f t="shared" ref="N132:N147" si="23">CONCATENATE(K$8,K10)</f>
        <v>Henrik StensonDustin Johnson</v>
      </c>
      <c r="O132" s="22">
        <f t="shared" si="22"/>
        <v>0</v>
      </c>
    </row>
    <row r="133" spans="14:15" x14ac:dyDescent="0.25">
      <c r="N133" s="21" t="str">
        <f t="shared" si="23"/>
        <v>Henrik StensonPatrick Reed</v>
      </c>
      <c r="O133" s="22">
        <f t="shared" si="22"/>
        <v>0</v>
      </c>
    </row>
    <row r="134" spans="14:15" x14ac:dyDescent="0.25">
      <c r="N134" s="21" t="str">
        <f t="shared" si="23"/>
        <v>Henrik StensonDanny Willett</v>
      </c>
      <c r="O134" s="22">
        <f t="shared" si="22"/>
        <v>0</v>
      </c>
    </row>
    <row r="135" spans="14:15" x14ac:dyDescent="0.25">
      <c r="N135" s="21" t="str">
        <f t="shared" si="23"/>
        <v>Henrik StensonBranden Grace</v>
      </c>
      <c r="O135" s="22">
        <f t="shared" si="22"/>
        <v>0</v>
      </c>
    </row>
    <row r="136" spans="14:15" x14ac:dyDescent="0.25">
      <c r="N136" s="21" t="str">
        <f t="shared" si="23"/>
        <v>Henrik StensonSergio Garcia</v>
      </c>
      <c r="O136" s="22">
        <f t="shared" si="22"/>
        <v>0</v>
      </c>
    </row>
    <row r="137" spans="14:15" x14ac:dyDescent="0.25">
      <c r="N137" s="21" t="str">
        <f t="shared" si="23"/>
        <v>Henrik StensonHideki Matsuyama</v>
      </c>
      <c r="O137" s="22">
        <f t="shared" si="22"/>
        <v>0</v>
      </c>
    </row>
    <row r="138" spans="14:15" x14ac:dyDescent="0.25">
      <c r="N138" s="21" t="str">
        <f t="shared" si="23"/>
        <v>Henrik StensonJim Furyk</v>
      </c>
      <c r="O138" s="22">
        <f t="shared" si="22"/>
        <v>0</v>
      </c>
    </row>
    <row r="139" spans="14:15" x14ac:dyDescent="0.25">
      <c r="N139" s="21" t="str">
        <f t="shared" si="23"/>
        <v>Henrik StensonBrandt Snedeker</v>
      </c>
      <c r="O139" s="22">
        <f t="shared" si="22"/>
        <v>0</v>
      </c>
    </row>
    <row r="140" spans="14:15" x14ac:dyDescent="0.25">
      <c r="N140" s="21" t="str">
        <f t="shared" si="23"/>
        <v>Henrik StensonPhil Mickelson</v>
      </c>
      <c r="O140" s="22">
        <f t="shared" si="22"/>
        <v>0</v>
      </c>
    </row>
    <row r="141" spans="14:15" x14ac:dyDescent="0.25">
      <c r="N141" s="21" t="str">
        <f t="shared" si="23"/>
        <v>Henrik StensonLouis Oosthuizen</v>
      </c>
      <c r="O141" s="22">
        <f t="shared" si="22"/>
        <v>0</v>
      </c>
    </row>
    <row r="142" spans="14:15" x14ac:dyDescent="0.25">
      <c r="N142" s="21" t="str">
        <f t="shared" si="23"/>
        <v>Henrik StensonBrooks Koepka</v>
      </c>
      <c r="O142" s="22">
        <f t="shared" si="22"/>
        <v>0</v>
      </c>
    </row>
    <row r="143" spans="14:15" x14ac:dyDescent="0.25">
      <c r="N143" s="21" t="str">
        <f t="shared" si="23"/>
        <v>Henrik StensonZach Johnson</v>
      </c>
      <c r="O143" s="22">
        <f t="shared" si="22"/>
        <v>0</v>
      </c>
    </row>
    <row r="144" spans="14:15" x14ac:dyDescent="0.25">
      <c r="N144" s="21" t="str">
        <f t="shared" si="23"/>
        <v>Henrik StensonKevin Kisner</v>
      </c>
      <c r="O144" s="22">
        <f t="shared" si="22"/>
        <v>0</v>
      </c>
    </row>
    <row r="145" spans="14:15" x14ac:dyDescent="0.25">
      <c r="N145" s="21" t="str">
        <f t="shared" si="23"/>
        <v>Henrik StensonJimmy Walker</v>
      </c>
      <c r="O145" s="22">
        <f t="shared" si="22"/>
        <v>0</v>
      </c>
    </row>
    <row r="146" spans="14:15" x14ac:dyDescent="0.25">
      <c r="N146" s="21" t="str">
        <f t="shared" si="23"/>
        <v>Henrik StensonJ.B. Holmes</v>
      </c>
      <c r="O146" s="22">
        <f t="shared" si="22"/>
        <v>0</v>
      </c>
    </row>
    <row r="147" spans="14:15" x14ac:dyDescent="0.25">
      <c r="N147" s="21" t="str">
        <f t="shared" si="23"/>
        <v>Henrik StensonShane Lowry</v>
      </c>
      <c r="O147" s="22">
        <f t="shared" si="22"/>
        <v>0</v>
      </c>
    </row>
    <row r="148" spans="14:15" x14ac:dyDescent="0.25">
      <c r="N148" s="21" t="str">
        <f>CONCATENATE(K$8,K26)</f>
        <v>Henrik StensonPaul Casey</v>
      </c>
      <c r="O148" s="22">
        <f t="shared" si="22"/>
        <v>0</v>
      </c>
    </row>
    <row r="149" spans="14:15" x14ac:dyDescent="0.25">
      <c r="N149" s="21" t="str">
        <f>CONCATENATE(K$9,K10)</f>
        <v>Justin RoseDustin Johnson</v>
      </c>
      <c r="O149" s="22">
        <f t="shared" si="22"/>
        <v>0</v>
      </c>
    </row>
    <row r="150" spans="14:15" x14ac:dyDescent="0.25">
      <c r="N150" s="21" t="str">
        <f t="shared" ref="N150:N165" si="24">CONCATENATE(K$9,K11)</f>
        <v>Justin RosePatrick Reed</v>
      </c>
      <c r="O150" s="22">
        <f t="shared" si="22"/>
        <v>0</v>
      </c>
    </row>
    <row r="151" spans="14:15" x14ac:dyDescent="0.25">
      <c r="N151" s="21" t="str">
        <f t="shared" si="24"/>
        <v>Justin RoseDanny Willett</v>
      </c>
      <c r="O151" s="22">
        <f t="shared" si="22"/>
        <v>0</v>
      </c>
    </row>
    <row r="152" spans="14:15" x14ac:dyDescent="0.25">
      <c r="N152" s="21" t="str">
        <f t="shared" si="24"/>
        <v>Justin RoseBranden Grace</v>
      </c>
      <c r="O152" s="22">
        <f t="shared" si="22"/>
        <v>0</v>
      </c>
    </row>
    <row r="153" spans="14:15" x14ac:dyDescent="0.25">
      <c r="N153" s="21" t="str">
        <f t="shared" si="24"/>
        <v>Justin RoseSergio Garcia</v>
      </c>
      <c r="O153" s="22">
        <f t="shared" si="22"/>
        <v>0</v>
      </c>
    </row>
    <row r="154" spans="14:15" x14ac:dyDescent="0.25">
      <c r="N154" s="21" t="str">
        <f t="shared" si="24"/>
        <v>Justin RoseHideki Matsuyama</v>
      </c>
      <c r="O154" s="22">
        <f t="shared" si="22"/>
        <v>0</v>
      </c>
    </row>
    <row r="155" spans="14:15" x14ac:dyDescent="0.25">
      <c r="N155" s="21" t="str">
        <f t="shared" si="24"/>
        <v>Justin RoseJim Furyk</v>
      </c>
      <c r="O155" s="22">
        <f t="shared" si="22"/>
        <v>0</v>
      </c>
    </row>
    <row r="156" spans="14:15" x14ac:dyDescent="0.25">
      <c r="N156" s="21" t="str">
        <f t="shared" si="24"/>
        <v>Justin RoseBrandt Snedeker</v>
      </c>
      <c r="O156" s="22">
        <f t="shared" si="22"/>
        <v>0</v>
      </c>
    </row>
    <row r="157" spans="14:15" x14ac:dyDescent="0.25">
      <c r="N157" s="21" t="str">
        <f t="shared" si="24"/>
        <v>Justin RosePhil Mickelson</v>
      </c>
      <c r="O157" s="22">
        <f t="shared" si="22"/>
        <v>0</v>
      </c>
    </row>
    <row r="158" spans="14:15" x14ac:dyDescent="0.25">
      <c r="N158" s="21" t="str">
        <f t="shared" si="24"/>
        <v>Justin RoseLouis Oosthuizen</v>
      </c>
      <c r="O158" s="22">
        <f t="shared" si="22"/>
        <v>0</v>
      </c>
    </row>
    <row r="159" spans="14:15" x14ac:dyDescent="0.25">
      <c r="N159" s="21" t="str">
        <f t="shared" si="24"/>
        <v>Justin RoseBrooks Koepka</v>
      </c>
      <c r="O159" s="22">
        <f t="shared" si="22"/>
        <v>0</v>
      </c>
    </row>
    <row r="160" spans="14:15" x14ac:dyDescent="0.25">
      <c r="N160" s="21" t="str">
        <f t="shared" si="24"/>
        <v>Justin RoseZach Johnson</v>
      </c>
      <c r="O160" s="22">
        <f t="shared" si="22"/>
        <v>0</v>
      </c>
    </row>
    <row r="161" spans="14:15" x14ac:dyDescent="0.25">
      <c r="N161" s="21" t="str">
        <f t="shared" si="24"/>
        <v>Justin RoseKevin Kisner</v>
      </c>
      <c r="O161" s="22">
        <f t="shared" si="22"/>
        <v>0</v>
      </c>
    </row>
    <row r="162" spans="14:15" x14ac:dyDescent="0.25">
      <c r="N162" s="21" t="str">
        <f t="shared" si="24"/>
        <v>Justin RoseJimmy Walker</v>
      </c>
      <c r="O162" s="22">
        <f t="shared" si="22"/>
        <v>0</v>
      </c>
    </row>
    <row r="163" spans="14:15" x14ac:dyDescent="0.25">
      <c r="N163" s="21" t="str">
        <f t="shared" si="24"/>
        <v>Justin RoseJ.B. Holmes</v>
      </c>
      <c r="O163" s="22">
        <f t="shared" si="22"/>
        <v>0</v>
      </c>
    </row>
    <row r="164" spans="14:15" x14ac:dyDescent="0.25">
      <c r="N164" s="21" t="str">
        <f t="shared" si="24"/>
        <v>Justin RoseShane Lowry</v>
      </c>
      <c r="O164" s="22">
        <f t="shared" si="22"/>
        <v>0</v>
      </c>
    </row>
    <row r="165" spans="14:15" x14ac:dyDescent="0.25">
      <c r="N165" s="21" t="str">
        <f t="shared" si="24"/>
        <v>Justin RosePaul Casey</v>
      </c>
      <c r="O165" s="22">
        <f t="shared" si="22"/>
        <v>0</v>
      </c>
    </row>
    <row r="166" spans="14:15" x14ac:dyDescent="0.25">
      <c r="N166" s="21" t="str">
        <f>CONCATENATE(K$10,K11)</f>
        <v>Dustin JohnsonPatrick Reed</v>
      </c>
      <c r="O166" s="22">
        <f t="shared" si="22"/>
        <v>0</v>
      </c>
    </row>
    <row r="167" spans="14:15" x14ac:dyDescent="0.25">
      <c r="N167" s="21" t="str">
        <f t="shared" ref="N167:N181" si="25">CONCATENATE(K$10,K12)</f>
        <v>Dustin JohnsonDanny Willett</v>
      </c>
      <c r="O167" s="22">
        <f t="shared" si="22"/>
        <v>0</v>
      </c>
    </row>
    <row r="168" spans="14:15" x14ac:dyDescent="0.25">
      <c r="N168" s="21" t="str">
        <f t="shared" si="25"/>
        <v>Dustin JohnsonBranden Grace</v>
      </c>
      <c r="O168" s="22">
        <f t="shared" si="22"/>
        <v>0</v>
      </c>
    </row>
    <row r="169" spans="14:15" x14ac:dyDescent="0.25">
      <c r="N169" s="21" t="str">
        <f t="shared" si="25"/>
        <v>Dustin JohnsonSergio Garcia</v>
      </c>
      <c r="O169" s="22">
        <f t="shared" si="22"/>
        <v>0</v>
      </c>
    </row>
    <row r="170" spans="14:15" x14ac:dyDescent="0.25">
      <c r="N170" s="21" t="str">
        <f t="shared" si="25"/>
        <v>Dustin JohnsonHideki Matsuyama</v>
      </c>
      <c r="O170" s="22">
        <f t="shared" si="22"/>
        <v>0</v>
      </c>
    </row>
    <row r="171" spans="14:15" x14ac:dyDescent="0.25">
      <c r="N171" s="21" t="str">
        <f t="shared" si="25"/>
        <v>Dustin JohnsonJim Furyk</v>
      </c>
      <c r="O171" s="22">
        <f t="shared" si="22"/>
        <v>0</v>
      </c>
    </row>
    <row r="172" spans="14:15" x14ac:dyDescent="0.25">
      <c r="N172" s="21" t="str">
        <f t="shared" si="25"/>
        <v>Dustin JohnsonBrandt Snedeker</v>
      </c>
      <c r="O172" s="22">
        <f t="shared" si="22"/>
        <v>0</v>
      </c>
    </row>
    <row r="173" spans="14:15" x14ac:dyDescent="0.25">
      <c r="N173" s="21" t="str">
        <f t="shared" si="25"/>
        <v>Dustin JohnsonPhil Mickelson</v>
      </c>
      <c r="O173" s="22">
        <f t="shared" si="22"/>
        <v>0</v>
      </c>
    </row>
    <row r="174" spans="14:15" x14ac:dyDescent="0.25">
      <c r="N174" s="21" t="str">
        <f t="shared" si="25"/>
        <v>Dustin JohnsonLouis Oosthuizen</v>
      </c>
      <c r="O174" s="22">
        <f t="shared" si="22"/>
        <v>0</v>
      </c>
    </row>
    <row r="175" spans="14:15" x14ac:dyDescent="0.25">
      <c r="N175" s="21" t="str">
        <f t="shared" si="25"/>
        <v>Dustin JohnsonBrooks Koepka</v>
      </c>
      <c r="O175" s="22">
        <f t="shared" si="22"/>
        <v>0</v>
      </c>
    </row>
    <row r="176" spans="14:15" x14ac:dyDescent="0.25">
      <c r="N176" s="21" t="str">
        <f t="shared" si="25"/>
        <v>Dustin JohnsonZach Johnson</v>
      </c>
      <c r="O176" s="22">
        <f t="shared" si="22"/>
        <v>0</v>
      </c>
    </row>
    <row r="177" spans="14:15" x14ac:dyDescent="0.25">
      <c r="N177" s="21" t="str">
        <f t="shared" si="25"/>
        <v>Dustin JohnsonKevin Kisner</v>
      </c>
      <c r="O177" s="22">
        <f t="shared" si="22"/>
        <v>0</v>
      </c>
    </row>
    <row r="178" spans="14:15" x14ac:dyDescent="0.25">
      <c r="N178" s="21" t="str">
        <f t="shared" si="25"/>
        <v>Dustin JohnsonJimmy Walker</v>
      </c>
      <c r="O178" s="22">
        <f t="shared" si="22"/>
        <v>0</v>
      </c>
    </row>
    <row r="179" spans="14:15" x14ac:dyDescent="0.25">
      <c r="N179" s="21" t="str">
        <f t="shared" si="25"/>
        <v>Dustin JohnsonJ.B. Holmes</v>
      </c>
      <c r="O179" s="22">
        <f t="shared" si="22"/>
        <v>0</v>
      </c>
    </row>
    <row r="180" spans="14:15" x14ac:dyDescent="0.25">
      <c r="N180" s="21" t="str">
        <f t="shared" si="25"/>
        <v>Dustin JohnsonShane Lowry</v>
      </c>
      <c r="O180" s="22">
        <f t="shared" si="22"/>
        <v>0</v>
      </c>
    </row>
    <row r="181" spans="14:15" x14ac:dyDescent="0.25">
      <c r="N181" s="21" t="str">
        <f t="shared" si="25"/>
        <v>Dustin JohnsonPaul Casey</v>
      </c>
      <c r="O181" s="22">
        <f t="shared" si="22"/>
        <v>0</v>
      </c>
    </row>
    <row r="182" spans="14:15" x14ac:dyDescent="0.25">
      <c r="N182" s="21" t="str">
        <f>CONCATENATE(K$11,K12)</f>
        <v>Patrick ReedDanny Willett</v>
      </c>
      <c r="O182" s="22">
        <f t="shared" si="22"/>
        <v>0</v>
      </c>
    </row>
    <row r="183" spans="14:15" x14ac:dyDescent="0.25">
      <c r="N183" s="21" t="str">
        <f t="shared" ref="N183:N196" si="26">CONCATENATE(K$11,K13)</f>
        <v>Patrick ReedBranden Grace</v>
      </c>
      <c r="O183" s="22">
        <f t="shared" si="22"/>
        <v>0</v>
      </c>
    </row>
    <row r="184" spans="14:15" x14ac:dyDescent="0.25">
      <c r="N184" s="21" t="str">
        <f t="shared" si="26"/>
        <v>Patrick ReedSergio Garcia</v>
      </c>
      <c r="O184" s="22">
        <f t="shared" si="22"/>
        <v>0</v>
      </c>
    </row>
    <row r="185" spans="14:15" x14ac:dyDescent="0.25">
      <c r="N185" s="21" t="str">
        <f t="shared" si="26"/>
        <v>Patrick ReedHideki Matsuyama</v>
      </c>
      <c r="O185" s="22">
        <f t="shared" si="22"/>
        <v>0</v>
      </c>
    </row>
    <row r="186" spans="14:15" x14ac:dyDescent="0.25">
      <c r="N186" s="21" t="str">
        <f t="shared" si="26"/>
        <v>Patrick ReedJim Furyk</v>
      </c>
      <c r="O186" s="22">
        <f t="shared" si="22"/>
        <v>0</v>
      </c>
    </row>
    <row r="187" spans="14:15" x14ac:dyDescent="0.25">
      <c r="N187" s="21" t="str">
        <f t="shared" si="26"/>
        <v>Patrick ReedBrandt Snedeker</v>
      </c>
      <c r="O187" s="22">
        <f t="shared" si="22"/>
        <v>0</v>
      </c>
    </row>
    <row r="188" spans="14:15" x14ac:dyDescent="0.25">
      <c r="N188" s="21" t="str">
        <f t="shared" si="26"/>
        <v>Patrick ReedPhil Mickelson</v>
      </c>
      <c r="O188" s="22">
        <f t="shared" si="22"/>
        <v>0</v>
      </c>
    </row>
    <row r="189" spans="14:15" x14ac:dyDescent="0.25">
      <c r="N189" s="21" t="str">
        <f t="shared" si="26"/>
        <v>Patrick ReedLouis Oosthuizen</v>
      </c>
      <c r="O189" s="22">
        <f t="shared" si="22"/>
        <v>0</v>
      </c>
    </row>
    <row r="190" spans="14:15" x14ac:dyDescent="0.25">
      <c r="N190" s="21" t="str">
        <f t="shared" si="26"/>
        <v>Patrick ReedBrooks Koepka</v>
      </c>
      <c r="O190" s="22">
        <f t="shared" si="22"/>
        <v>0</v>
      </c>
    </row>
    <row r="191" spans="14:15" x14ac:dyDescent="0.25">
      <c r="N191" s="21" t="str">
        <f t="shared" si="26"/>
        <v>Patrick ReedZach Johnson</v>
      </c>
      <c r="O191" s="22">
        <f t="shared" si="22"/>
        <v>0</v>
      </c>
    </row>
    <row r="192" spans="14:15" x14ac:dyDescent="0.25">
      <c r="N192" s="21" t="str">
        <f t="shared" si="26"/>
        <v>Patrick ReedKevin Kisner</v>
      </c>
      <c r="O192" s="22">
        <f t="shared" si="22"/>
        <v>0</v>
      </c>
    </row>
    <row r="193" spans="14:15" x14ac:dyDescent="0.25">
      <c r="N193" s="21" t="str">
        <f t="shared" si="26"/>
        <v>Patrick ReedJimmy Walker</v>
      </c>
      <c r="O193" s="22">
        <f t="shared" si="22"/>
        <v>0</v>
      </c>
    </row>
    <row r="194" spans="14:15" x14ac:dyDescent="0.25">
      <c r="N194" s="21" t="str">
        <f t="shared" si="26"/>
        <v>Patrick ReedJ.B. Holmes</v>
      </c>
      <c r="O194" s="22">
        <f t="shared" si="22"/>
        <v>0</v>
      </c>
    </row>
    <row r="195" spans="14:15" x14ac:dyDescent="0.25">
      <c r="N195" s="21" t="str">
        <f t="shared" si="26"/>
        <v>Patrick ReedShane Lowry</v>
      </c>
      <c r="O195" s="22">
        <f t="shared" ref="O195:O258" si="27">COUNTIF(P:P, N195) + COUNTIF(Q:Q,N195)+ COUNTIF(R:R,N195)+ COUNTIF(S:S,N195)</f>
        <v>0</v>
      </c>
    </row>
    <row r="196" spans="14:15" x14ac:dyDescent="0.25">
      <c r="N196" s="21" t="str">
        <f t="shared" si="26"/>
        <v>Patrick ReedPaul Casey</v>
      </c>
      <c r="O196" s="22">
        <f t="shared" si="27"/>
        <v>0</v>
      </c>
    </row>
    <row r="197" spans="14:15" x14ac:dyDescent="0.25">
      <c r="N197" s="21" t="str">
        <f>CONCATENATE(K$12,K13)</f>
        <v>Danny WillettBranden Grace</v>
      </c>
      <c r="O197" s="22">
        <f t="shared" si="27"/>
        <v>0</v>
      </c>
    </row>
    <row r="198" spans="14:15" x14ac:dyDescent="0.25">
      <c r="N198" s="21" t="str">
        <f t="shared" ref="N198:N210" si="28">CONCATENATE(K$12,K14)</f>
        <v>Danny WillettSergio Garcia</v>
      </c>
      <c r="O198" s="22">
        <f t="shared" si="27"/>
        <v>0</v>
      </c>
    </row>
    <row r="199" spans="14:15" x14ac:dyDescent="0.25">
      <c r="N199" s="21" t="str">
        <f t="shared" si="28"/>
        <v>Danny WillettHideki Matsuyama</v>
      </c>
      <c r="O199" s="22">
        <f t="shared" si="27"/>
        <v>0</v>
      </c>
    </row>
    <row r="200" spans="14:15" x14ac:dyDescent="0.25">
      <c r="N200" s="21" t="str">
        <f t="shared" si="28"/>
        <v>Danny WillettJim Furyk</v>
      </c>
      <c r="O200" s="22">
        <f t="shared" si="27"/>
        <v>0</v>
      </c>
    </row>
    <row r="201" spans="14:15" x14ac:dyDescent="0.25">
      <c r="N201" s="21" t="str">
        <f t="shared" si="28"/>
        <v>Danny WillettBrandt Snedeker</v>
      </c>
      <c r="O201" s="22">
        <f t="shared" si="27"/>
        <v>0</v>
      </c>
    </row>
    <row r="202" spans="14:15" x14ac:dyDescent="0.25">
      <c r="N202" s="21" t="str">
        <f t="shared" si="28"/>
        <v>Danny WillettPhil Mickelson</v>
      </c>
      <c r="O202" s="22">
        <f t="shared" si="27"/>
        <v>0</v>
      </c>
    </row>
    <row r="203" spans="14:15" x14ac:dyDescent="0.25">
      <c r="N203" s="21" t="str">
        <f t="shared" si="28"/>
        <v>Danny WillettLouis Oosthuizen</v>
      </c>
      <c r="O203" s="22">
        <f t="shared" si="27"/>
        <v>0</v>
      </c>
    </row>
    <row r="204" spans="14:15" x14ac:dyDescent="0.25">
      <c r="N204" s="21" t="str">
        <f t="shared" si="28"/>
        <v>Danny WillettBrooks Koepka</v>
      </c>
      <c r="O204" s="22">
        <f t="shared" si="27"/>
        <v>0</v>
      </c>
    </row>
    <row r="205" spans="14:15" x14ac:dyDescent="0.25">
      <c r="N205" s="21" t="str">
        <f t="shared" si="28"/>
        <v>Danny WillettZach Johnson</v>
      </c>
      <c r="O205" s="22">
        <f t="shared" si="27"/>
        <v>0</v>
      </c>
    </row>
    <row r="206" spans="14:15" x14ac:dyDescent="0.25">
      <c r="N206" s="21" t="str">
        <f t="shared" si="28"/>
        <v>Danny WillettKevin Kisner</v>
      </c>
      <c r="O206" s="22">
        <f t="shared" si="27"/>
        <v>0</v>
      </c>
    </row>
    <row r="207" spans="14:15" x14ac:dyDescent="0.25">
      <c r="N207" s="21" t="str">
        <f>CONCATENATE(K$12,K23)</f>
        <v>Danny WillettJimmy Walker</v>
      </c>
      <c r="O207" s="22">
        <f t="shared" si="27"/>
        <v>0</v>
      </c>
    </row>
    <row r="208" spans="14:15" x14ac:dyDescent="0.25">
      <c r="N208" s="21" t="str">
        <f t="shared" si="28"/>
        <v>Danny WillettJ.B. Holmes</v>
      </c>
      <c r="O208" s="22">
        <f t="shared" si="27"/>
        <v>0</v>
      </c>
    </row>
    <row r="209" spans="14:15" x14ac:dyDescent="0.25">
      <c r="N209" s="21" t="str">
        <f t="shared" si="28"/>
        <v>Danny WillettShane Lowry</v>
      </c>
      <c r="O209" s="22">
        <f t="shared" si="27"/>
        <v>0</v>
      </c>
    </row>
    <row r="210" spans="14:15" x14ac:dyDescent="0.25">
      <c r="N210" s="21" t="str">
        <f t="shared" si="28"/>
        <v>Danny WillettPaul Casey</v>
      </c>
      <c r="O210" s="22">
        <f t="shared" si="27"/>
        <v>0</v>
      </c>
    </row>
    <row r="211" spans="14:15" x14ac:dyDescent="0.25">
      <c r="N211" s="21" t="str">
        <f>CONCATENATE(K$13,K14)</f>
        <v>Branden GraceSergio Garcia</v>
      </c>
      <c r="O211" s="22">
        <f t="shared" si="27"/>
        <v>0</v>
      </c>
    </row>
    <row r="212" spans="14:15" x14ac:dyDescent="0.25">
      <c r="N212" s="21" t="str">
        <f t="shared" ref="N212:N222" si="29">CONCATENATE(K$13,K15)</f>
        <v>Branden GraceHideki Matsuyama</v>
      </c>
      <c r="O212" s="22">
        <f t="shared" si="27"/>
        <v>0</v>
      </c>
    </row>
    <row r="213" spans="14:15" x14ac:dyDescent="0.25">
      <c r="N213" s="21" t="str">
        <f t="shared" si="29"/>
        <v>Branden GraceJim Furyk</v>
      </c>
      <c r="O213" s="22">
        <f t="shared" si="27"/>
        <v>0</v>
      </c>
    </row>
    <row r="214" spans="14:15" x14ac:dyDescent="0.25">
      <c r="N214" s="21" t="str">
        <f t="shared" si="29"/>
        <v>Branden GraceBrandt Snedeker</v>
      </c>
      <c r="O214" s="22">
        <f t="shared" si="27"/>
        <v>0</v>
      </c>
    </row>
    <row r="215" spans="14:15" x14ac:dyDescent="0.25">
      <c r="N215" s="21" t="str">
        <f t="shared" si="29"/>
        <v>Branden GracePhil Mickelson</v>
      </c>
      <c r="O215" s="22">
        <f t="shared" si="27"/>
        <v>0</v>
      </c>
    </row>
    <row r="216" spans="14:15" x14ac:dyDescent="0.25">
      <c r="N216" s="21" t="str">
        <f t="shared" si="29"/>
        <v>Branden GraceLouis Oosthuizen</v>
      </c>
      <c r="O216" s="22">
        <f t="shared" si="27"/>
        <v>0</v>
      </c>
    </row>
    <row r="217" spans="14:15" x14ac:dyDescent="0.25">
      <c r="N217" s="21" t="str">
        <f t="shared" si="29"/>
        <v>Branden GraceBrooks Koepka</v>
      </c>
      <c r="O217" s="22">
        <f t="shared" si="27"/>
        <v>0</v>
      </c>
    </row>
    <row r="218" spans="14:15" x14ac:dyDescent="0.25">
      <c r="N218" s="21" t="str">
        <f t="shared" si="29"/>
        <v>Branden GraceZach Johnson</v>
      </c>
      <c r="O218" s="22">
        <f t="shared" si="27"/>
        <v>0</v>
      </c>
    </row>
    <row r="219" spans="14:15" x14ac:dyDescent="0.25">
      <c r="N219" s="21" t="str">
        <f t="shared" si="29"/>
        <v>Branden GraceKevin Kisner</v>
      </c>
      <c r="O219" s="22">
        <f t="shared" si="27"/>
        <v>0</v>
      </c>
    </row>
    <row r="220" spans="14:15" x14ac:dyDescent="0.25">
      <c r="N220" s="21" t="str">
        <f t="shared" si="29"/>
        <v>Branden GraceJimmy Walker</v>
      </c>
      <c r="O220" s="22">
        <f t="shared" si="27"/>
        <v>0</v>
      </c>
    </row>
    <row r="221" spans="14:15" x14ac:dyDescent="0.25">
      <c r="N221" s="21" t="str">
        <f t="shared" si="29"/>
        <v>Branden GraceJ.B. Holmes</v>
      </c>
      <c r="O221" s="22">
        <f t="shared" si="27"/>
        <v>0</v>
      </c>
    </row>
    <row r="222" spans="14:15" x14ac:dyDescent="0.25">
      <c r="N222" s="21" t="str">
        <f t="shared" si="29"/>
        <v>Branden GraceShane Lowry</v>
      </c>
      <c r="O222" s="22">
        <f t="shared" si="27"/>
        <v>0</v>
      </c>
    </row>
    <row r="223" spans="14:15" x14ac:dyDescent="0.25">
      <c r="N223" s="21" t="str">
        <f>CONCATENATE(K$13,K26)</f>
        <v>Branden GracePaul Casey</v>
      </c>
      <c r="O223" s="22">
        <f t="shared" si="27"/>
        <v>0</v>
      </c>
    </row>
    <row r="224" spans="14:15" x14ac:dyDescent="0.25">
      <c r="N224" s="21" t="str">
        <f>CONCATENATE(K$14,K15)</f>
        <v>Sergio GarciaHideki Matsuyama</v>
      </c>
      <c r="O224" s="22">
        <f t="shared" si="27"/>
        <v>0</v>
      </c>
    </row>
    <row r="225" spans="14:15" x14ac:dyDescent="0.25">
      <c r="N225" s="21" t="str">
        <f t="shared" ref="N225:N235" si="30">CONCATENATE(K$14,K16)</f>
        <v>Sergio GarciaJim Furyk</v>
      </c>
      <c r="O225" s="22">
        <f t="shared" si="27"/>
        <v>0</v>
      </c>
    </row>
    <row r="226" spans="14:15" x14ac:dyDescent="0.25">
      <c r="N226" s="21" t="str">
        <f t="shared" si="30"/>
        <v>Sergio GarciaBrandt Snedeker</v>
      </c>
      <c r="O226" s="22">
        <f t="shared" si="27"/>
        <v>0</v>
      </c>
    </row>
    <row r="227" spans="14:15" x14ac:dyDescent="0.25">
      <c r="N227" s="21" t="str">
        <f t="shared" si="30"/>
        <v>Sergio GarciaPhil Mickelson</v>
      </c>
      <c r="O227" s="22">
        <f t="shared" si="27"/>
        <v>0</v>
      </c>
    </row>
    <row r="228" spans="14:15" x14ac:dyDescent="0.25">
      <c r="N228" s="21" t="str">
        <f t="shared" si="30"/>
        <v>Sergio GarciaLouis Oosthuizen</v>
      </c>
      <c r="O228" s="22">
        <f t="shared" si="27"/>
        <v>0</v>
      </c>
    </row>
    <row r="229" spans="14:15" x14ac:dyDescent="0.25">
      <c r="N229" s="21" t="str">
        <f t="shared" si="30"/>
        <v>Sergio GarciaBrooks Koepka</v>
      </c>
      <c r="O229" s="22">
        <f t="shared" si="27"/>
        <v>0</v>
      </c>
    </row>
    <row r="230" spans="14:15" x14ac:dyDescent="0.25">
      <c r="N230" s="21" t="str">
        <f t="shared" si="30"/>
        <v>Sergio GarciaZach Johnson</v>
      </c>
      <c r="O230" s="22">
        <f t="shared" si="27"/>
        <v>0</v>
      </c>
    </row>
    <row r="231" spans="14:15" x14ac:dyDescent="0.25">
      <c r="N231" s="21" t="str">
        <f t="shared" si="30"/>
        <v>Sergio GarciaKevin Kisner</v>
      </c>
      <c r="O231" s="22">
        <f t="shared" si="27"/>
        <v>0</v>
      </c>
    </row>
    <row r="232" spans="14:15" x14ac:dyDescent="0.25">
      <c r="N232" s="21" t="str">
        <f t="shared" si="30"/>
        <v>Sergio GarciaJimmy Walker</v>
      </c>
      <c r="O232" s="22">
        <f t="shared" si="27"/>
        <v>0</v>
      </c>
    </row>
    <row r="233" spans="14:15" x14ac:dyDescent="0.25">
      <c r="N233" s="21" t="str">
        <f t="shared" si="30"/>
        <v>Sergio GarciaJ.B. Holmes</v>
      </c>
      <c r="O233" s="22">
        <f t="shared" si="27"/>
        <v>0</v>
      </c>
    </row>
    <row r="234" spans="14:15" x14ac:dyDescent="0.25">
      <c r="N234" s="21" t="str">
        <f t="shared" si="30"/>
        <v>Sergio GarciaShane Lowry</v>
      </c>
      <c r="O234" s="22">
        <f t="shared" si="27"/>
        <v>0</v>
      </c>
    </row>
    <row r="235" spans="14:15" x14ac:dyDescent="0.25">
      <c r="N235" s="21" t="str">
        <f t="shared" si="30"/>
        <v>Sergio GarciaPaul Casey</v>
      </c>
      <c r="O235" s="22">
        <f t="shared" si="27"/>
        <v>0</v>
      </c>
    </row>
    <row r="236" spans="14:15" x14ac:dyDescent="0.25">
      <c r="N236" s="21" t="str">
        <f>CONCATENATE(K$15,K16)</f>
        <v>Hideki MatsuyamaJim Furyk</v>
      </c>
      <c r="O236" s="22">
        <f t="shared" si="27"/>
        <v>0</v>
      </c>
    </row>
    <row r="237" spans="14:15" x14ac:dyDescent="0.25">
      <c r="N237" s="21" t="str">
        <f t="shared" ref="N237:N246" si="31">CONCATENATE(K$15,K17)</f>
        <v>Hideki MatsuyamaBrandt Snedeker</v>
      </c>
      <c r="O237" s="22">
        <f t="shared" si="27"/>
        <v>0</v>
      </c>
    </row>
    <row r="238" spans="14:15" x14ac:dyDescent="0.25">
      <c r="N238" s="21" t="str">
        <f t="shared" si="31"/>
        <v>Hideki MatsuyamaPhil Mickelson</v>
      </c>
      <c r="O238" s="22">
        <f t="shared" si="27"/>
        <v>0</v>
      </c>
    </row>
    <row r="239" spans="14:15" x14ac:dyDescent="0.25">
      <c r="N239" s="21" t="str">
        <f t="shared" si="31"/>
        <v>Hideki MatsuyamaLouis Oosthuizen</v>
      </c>
      <c r="O239" s="22">
        <f t="shared" si="27"/>
        <v>0</v>
      </c>
    </row>
    <row r="240" spans="14:15" x14ac:dyDescent="0.25">
      <c r="N240" s="21" t="str">
        <f t="shared" si="31"/>
        <v>Hideki MatsuyamaBrooks Koepka</v>
      </c>
      <c r="O240" s="22">
        <f t="shared" si="27"/>
        <v>0</v>
      </c>
    </row>
    <row r="241" spans="14:15" x14ac:dyDescent="0.25">
      <c r="N241" s="21" t="str">
        <f t="shared" si="31"/>
        <v>Hideki MatsuyamaZach Johnson</v>
      </c>
      <c r="O241" s="22">
        <f t="shared" si="27"/>
        <v>0</v>
      </c>
    </row>
    <row r="242" spans="14:15" x14ac:dyDescent="0.25">
      <c r="N242" s="21" t="str">
        <f t="shared" si="31"/>
        <v>Hideki MatsuyamaKevin Kisner</v>
      </c>
      <c r="O242" s="22">
        <f t="shared" si="27"/>
        <v>0</v>
      </c>
    </row>
    <row r="243" spans="14:15" x14ac:dyDescent="0.25">
      <c r="N243" s="21" t="str">
        <f t="shared" si="31"/>
        <v>Hideki MatsuyamaJimmy Walker</v>
      </c>
      <c r="O243" s="22">
        <f t="shared" si="27"/>
        <v>0</v>
      </c>
    </row>
    <row r="244" spans="14:15" x14ac:dyDescent="0.25">
      <c r="N244" s="21" t="str">
        <f t="shared" si="31"/>
        <v>Hideki MatsuyamaJ.B. Holmes</v>
      </c>
      <c r="O244" s="22">
        <f t="shared" si="27"/>
        <v>0</v>
      </c>
    </row>
    <row r="245" spans="14:15" x14ac:dyDescent="0.25">
      <c r="N245" s="21" t="str">
        <f t="shared" si="31"/>
        <v>Hideki MatsuyamaShane Lowry</v>
      </c>
      <c r="O245" s="22">
        <f t="shared" si="27"/>
        <v>0</v>
      </c>
    </row>
    <row r="246" spans="14:15" x14ac:dyDescent="0.25">
      <c r="N246" s="21" t="str">
        <f t="shared" si="31"/>
        <v>Hideki MatsuyamaPaul Casey</v>
      </c>
      <c r="O246" s="22">
        <f t="shared" si="27"/>
        <v>0</v>
      </c>
    </row>
    <row r="247" spans="14:15" x14ac:dyDescent="0.25">
      <c r="N247" s="21" t="str">
        <f>CONCATENATE(K$16,K17)</f>
        <v>Jim FurykBrandt Snedeker</v>
      </c>
      <c r="O247" s="22">
        <f t="shared" si="27"/>
        <v>0</v>
      </c>
    </row>
    <row r="248" spans="14:15" x14ac:dyDescent="0.25">
      <c r="N248" s="21" t="str">
        <f t="shared" ref="N248:N256" si="32">CONCATENATE(K$16,K18)</f>
        <v>Jim FurykPhil Mickelson</v>
      </c>
      <c r="O248" s="22">
        <f t="shared" si="27"/>
        <v>0</v>
      </c>
    </row>
    <row r="249" spans="14:15" x14ac:dyDescent="0.25">
      <c r="N249" s="21" t="str">
        <f t="shared" si="32"/>
        <v>Jim FurykLouis Oosthuizen</v>
      </c>
      <c r="O249" s="22">
        <f t="shared" si="27"/>
        <v>0</v>
      </c>
    </row>
    <row r="250" spans="14:15" x14ac:dyDescent="0.25">
      <c r="N250" s="21" t="str">
        <f t="shared" si="32"/>
        <v>Jim FurykBrooks Koepka</v>
      </c>
      <c r="O250" s="22">
        <f t="shared" si="27"/>
        <v>0</v>
      </c>
    </row>
    <row r="251" spans="14:15" x14ac:dyDescent="0.25">
      <c r="N251" s="21" t="str">
        <f t="shared" si="32"/>
        <v>Jim FurykZach Johnson</v>
      </c>
      <c r="O251" s="22">
        <f t="shared" si="27"/>
        <v>0</v>
      </c>
    </row>
    <row r="252" spans="14:15" x14ac:dyDescent="0.25">
      <c r="N252" s="21" t="str">
        <f t="shared" si="32"/>
        <v>Jim FurykKevin Kisner</v>
      </c>
      <c r="O252" s="22">
        <f t="shared" si="27"/>
        <v>0</v>
      </c>
    </row>
    <row r="253" spans="14:15" x14ac:dyDescent="0.25">
      <c r="N253" s="21" t="str">
        <f t="shared" si="32"/>
        <v>Jim FurykJimmy Walker</v>
      </c>
      <c r="O253" s="22">
        <f t="shared" si="27"/>
        <v>0</v>
      </c>
    </row>
    <row r="254" spans="14:15" x14ac:dyDescent="0.25">
      <c r="N254" s="21" t="str">
        <f t="shared" si="32"/>
        <v>Jim FurykJ.B. Holmes</v>
      </c>
      <c r="O254" s="22">
        <f t="shared" si="27"/>
        <v>0</v>
      </c>
    </row>
    <row r="255" spans="14:15" x14ac:dyDescent="0.25">
      <c r="N255" s="21" t="str">
        <f t="shared" si="32"/>
        <v>Jim FurykShane Lowry</v>
      </c>
      <c r="O255" s="22">
        <f t="shared" si="27"/>
        <v>0</v>
      </c>
    </row>
    <row r="256" spans="14:15" x14ac:dyDescent="0.25">
      <c r="N256" s="21" t="str">
        <f t="shared" si="32"/>
        <v>Jim FurykPaul Casey</v>
      </c>
      <c r="O256" s="22">
        <f t="shared" si="27"/>
        <v>0</v>
      </c>
    </row>
    <row r="257" spans="14:15" x14ac:dyDescent="0.25">
      <c r="N257" s="21" t="str">
        <f>CONCATENATE(K$17,K18)</f>
        <v>Brandt SnedekerPhil Mickelson</v>
      </c>
      <c r="O257" s="22">
        <f t="shared" si="27"/>
        <v>0</v>
      </c>
    </row>
    <row r="258" spans="14:15" x14ac:dyDescent="0.25">
      <c r="N258" s="21" t="str">
        <f t="shared" ref="N258:N265" si="33">CONCATENATE(K$17,K19)</f>
        <v>Brandt SnedekerLouis Oosthuizen</v>
      </c>
      <c r="O258" s="22">
        <f t="shared" si="27"/>
        <v>0</v>
      </c>
    </row>
    <row r="259" spans="14:15" x14ac:dyDescent="0.25">
      <c r="N259" s="21" t="str">
        <f t="shared" si="33"/>
        <v>Brandt SnedekerBrooks Koepka</v>
      </c>
      <c r="O259" s="22">
        <f t="shared" ref="O259:O301" si="34">COUNTIF(P:P, N259) + COUNTIF(Q:Q,N259)+ COUNTIF(R:R,N259)+ COUNTIF(S:S,N259)</f>
        <v>0</v>
      </c>
    </row>
    <row r="260" spans="14:15" x14ac:dyDescent="0.25">
      <c r="N260" s="21" t="str">
        <f t="shared" si="33"/>
        <v>Brandt SnedekerZach Johnson</v>
      </c>
      <c r="O260" s="22">
        <f t="shared" si="34"/>
        <v>0</v>
      </c>
    </row>
    <row r="261" spans="14:15" x14ac:dyDescent="0.25">
      <c r="N261" s="21" t="str">
        <f t="shared" si="33"/>
        <v>Brandt SnedekerKevin Kisner</v>
      </c>
      <c r="O261" s="22">
        <f t="shared" si="34"/>
        <v>0</v>
      </c>
    </row>
    <row r="262" spans="14:15" x14ac:dyDescent="0.25">
      <c r="N262" s="21" t="str">
        <f t="shared" si="33"/>
        <v>Brandt SnedekerJimmy Walker</v>
      </c>
      <c r="O262" s="22">
        <f t="shared" si="34"/>
        <v>0</v>
      </c>
    </row>
    <row r="263" spans="14:15" x14ac:dyDescent="0.25">
      <c r="N263" s="21" t="str">
        <f t="shared" si="33"/>
        <v>Brandt SnedekerJ.B. Holmes</v>
      </c>
      <c r="O263" s="22">
        <f t="shared" si="34"/>
        <v>0</v>
      </c>
    </row>
    <row r="264" spans="14:15" x14ac:dyDescent="0.25">
      <c r="N264" s="21" t="str">
        <f t="shared" si="33"/>
        <v>Brandt SnedekerShane Lowry</v>
      </c>
      <c r="O264" s="22">
        <f t="shared" si="34"/>
        <v>0</v>
      </c>
    </row>
    <row r="265" spans="14:15" x14ac:dyDescent="0.25">
      <c r="N265" s="21" t="str">
        <f t="shared" si="33"/>
        <v>Brandt SnedekerPaul Casey</v>
      </c>
      <c r="O265" s="22">
        <f t="shared" si="34"/>
        <v>0</v>
      </c>
    </row>
    <row r="266" spans="14:15" x14ac:dyDescent="0.25">
      <c r="N266" s="21" t="str">
        <f>CONCATENATE(K$18,K19)</f>
        <v>Phil MickelsonLouis Oosthuizen</v>
      </c>
      <c r="O266" s="22">
        <f t="shared" si="34"/>
        <v>0</v>
      </c>
    </row>
    <row r="267" spans="14:15" x14ac:dyDescent="0.25">
      <c r="N267" s="21" t="str">
        <f t="shared" ref="N267:N273" si="35">CONCATENATE(K$18,K20)</f>
        <v>Phil MickelsonBrooks Koepka</v>
      </c>
      <c r="O267" s="22">
        <f t="shared" si="34"/>
        <v>0</v>
      </c>
    </row>
    <row r="268" spans="14:15" x14ac:dyDescent="0.25">
      <c r="N268" s="21" t="str">
        <f t="shared" si="35"/>
        <v>Phil MickelsonZach Johnson</v>
      </c>
      <c r="O268" s="22">
        <f t="shared" si="34"/>
        <v>0</v>
      </c>
    </row>
    <row r="269" spans="14:15" x14ac:dyDescent="0.25">
      <c r="N269" s="21" t="str">
        <f t="shared" si="35"/>
        <v>Phil MickelsonKevin Kisner</v>
      </c>
      <c r="O269" s="22">
        <f t="shared" si="34"/>
        <v>0</v>
      </c>
    </row>
    <row r="270" spans="14:15" x14ac:dyDescent="0.25">
      <c r="N270" s="21" t="str">
        <f t="shared" si="35"/>
        <v>Phil MickelsonJimmy Walker</v>
      </c>
      <c r="O270" s="22">
        <f t="shared" si="34"/>
        <v>0</v>
      </c>
    </row>
    <row r="271" spans="14:15" x14ac:dyDescent="0.25">
      <c r="N271" s="21" t="str">
        <f t="shared" si="35"/>
        <v>Phil MickelsonJ.B. Holmes</v>
      </c>
      <c r="O271" s="22">
        <f t="shared" si="34"/>
        <v>0</v>
      </c>
    </row>
    <row r="272" spans="14:15" x14ac:dyDescent="0.25">
      <c r="N272" s="21" t="str">
        <f t="shared" si="35"/>
        <v>Phil MickelsonShane Lowry</v>
      </c>
      <c r="O272" s="22">
        <f t="shared" si="34"/>
        <v>0</v>
      </c>
    </row>
    <row r="273" spans="14:15" x14ac:dyDescent="0.25">
      <c r="N273" s="21" t="str">
        <f t="shared" si="35"/>
        <v>Phil MickelsonPaul Casey</v>
      </c>
      <c r="O273" s="22">
        <f t="shared" si="34"/>
        <v>0</v>
      </c>
    </row>
    <row r="274" spans="14:15" x14ac:dyDescent="0.25">
      <c r="N274" s="21" t="str">
        <f>CONCATENATE(K$19,K20)</f>
        <v>Louis OosthuizenBrooks Koepka</v>
      </c>
      <c r="O274" s="22">
        <f t="shared" si="34"/>
        <v>0</v>
      </c>
    </row>
    <row r="275" spans="14:15" x14ac:dyDescent="0.25">
      <c r="N275" s="21" t="str">
        <f t="shared" ref="N275:N280" si="36">CONCATENATE(K$19,K21)</f>
        <v>Louis OosthuizenZach Johnson</v>
      </c>
      <c r="O275" s="22">
        <f t="shared" si="34"/>
        <v>0</v>
      </c>
    </row>
    <row r="276" spans="14:15" x14ac:dyDescent="0.25">
      <c r="N276" s="21" t="str">
        <f t="shared" si="36"/>
        <v>Louis OosthuizenKevin Kisner</v>
      </c>
      <c r="O276" s="22">
        <f t="shared" si="34"/>
        <v>0</v>
      </c>
    </row>
    <row r="277" spans="14:15" x14ac:dyDescent="0.25">
      <c r="N277" s="21" t="str">
        <f t="shared" si="36"/>
        <v>Louis OosthuizenJimmy Walker</v>
      </c>
      <c r="O277" s="22">
        <f t="shared" si="34"/>
        <v>0</v>
      </c>
    </row>
    <row r="278" spans="14:15" x14ac:dyDescent="0.25">
      <c r="N278" s="21" t="str">
        <f t="shared" si="36"/>
        <v>Louis OosthuizenJ.B. Holmes</v>
      </c>
      <c r="O278" s="22">
        <f t="shared" si="34"/>
        <v>0</v>
      </c>
    </row>
    <row r="279" spans="14:15" x14ac:dyDescent="0.25">
      <c r="N279" s="21" t="str">
        <f t="shared" si="36"/>
        <v>Louis OosthuizenShane Lowry</v>
      </c>
      <c r="O279" s="22">
        <f t="shared" si="34"/>
        <v>0</v>
      </c>
    </row>
    <row r="280" spans="14:15" x14ac:dyDescent="0.25">
      <c r="N280" s="21" t="str">
        <f t="shared" si="36"/>
        <v>Louis OosthuizenPaul Casey</v>
      </c>
      <c r="O280" s="22">
        <f t="shared" si="34"/>
        <v>0</v>
      </c>
    </row>
    <row r="281" spans="14:15" x14ac:dyDescent="0.25">
      <c r="N281" s="21" t="str">
        <f>CONCATENATE(K$20,K21)</f>
        <v>Brooks KoepkaZach Johnson</v>
      </c>
      <c r="O281" s="22">
        <f t="shared" si="34"/>
        <v>0</v>
      </c>
    </row>
    <row r="282" spans="14:15" x14ac:dyDescent="0.25">
      <c r="N282" s="21" t="str">
        <f t="shared" ref="N282:N286" si="37">CONCATENATE(K$20,K22)</f>
        <v>Brooks KoepkaKevin Kisner</v>
      </c>
      <c r="O282" s="22">
        <f t="shared" si="34"/>
        <v>0</v>
      </c>
    </row>
    <row r="283" spans="14:15" x14ac:dyDescent="0.25">
      <c r="N283" s="21" t="str">
        <f t="shared" si="37"/>
        <v>Brooks KoepkaJimmy Walker</v>
      </c>
      <c r="O283" s="22">
        <f t="shared" si="34"/>
        <v>0</v>
      </c>
    </row>
    <row r="284" spans="14:15" x14ac:dyDescent="0.25">
      <c r="N284" s="21" t="str">
        <f t="shared" si="37"/>
        <v>Brooks KoepkaJ.B. Holmes</v>
      </c>
      <c r="O284" s="22">
        <f t="shared" si="34"/>
        <v>0</v>
      </c>
    </row>
    <row r="285" spans="14:15" x14ac:dyDescent="0.25">
      <c r="N285" s="21" t="str">
        <f t="shared" si="37"/>
        <v>Brooks KoepkaShane Lowry</v>
      </c>
      <c r="O285" s="22">
        <f t="shared" si="34"/>
        <v>0</v>
      </c>
    </row>
    <row r="286" spans="14:15" x14ac:dyDescent="0.25">
      <c r="N286" s="21" t="str">
        <f t="shared" si="37"/>
        <v>Brooks KoepkaPaul Casey</v>
      </c>
      <c r="O286" s="22">
        <f t="shared" si="34"/>
        <v>0</v>
      </c>
    </row>
    <row r="287" spans="14:15" x14ac:dyDescent="0.25">
      <c r="N287" s="21" t="str">
        <f>CONCATENATE(K$21,K22)</f>
        <v>Zach JohnsonKevin Kisner</v>
      </c>
      <c r="O287" s="22">
        <f t="shared" si="34"/>
        <v>0</v>
      </c>
    </row>
    <row r="288" spans="14:15" x14ac:dyDescent="0.25">
      <c r="N288" s="21" t="str">
        <f t="shared" ref="N288:N291" si="38">CONCATENATE(K$21,K23)</f>
        <v>Zach JohnsonJimmy Walker</v>
      </c>
      <c r="O288" s="22">
        <f t="shared" si="34"/>
        <v>0</v>
      </c>
    </row>
    <row r="289" spans="14:15" x14ac:dyDescent="0.25">
      <c r="N289" s="21" t="str">
        <f t="shared" si="38"/>
        <v>Zach JohnsonJ.B. Holmes</v>
      </c>
      <c r="O289" s="22">
        <f t="shared" si="34"/>
        <v>0</v>
      </c>
    </row>
    <row r="290" spans="14:15" x14ac:dyDescent="0.25">
      <c r="N290" s="21" t="str">
        <f t="shared" si="38"/>
        <v>Zach JohnsonShane Lowry</v>
      </c>
      <c r="O290" s="22">
        <f t="shared" si="34"/>
        <v>0</v>
      </c>
    </row>
    <row r="291" spans="14:15" x14ac:dyDescent="0.25">
      <c r="N291" s="21" t="str">
        <f t="shared" si="38"/>
        <v>Zach JohnsonPaul Casey</v>
      </c>
      <c r="O291" s="22">
        <f t="shared" si="34"/>
        <v>0</v>
      </c>
    </row>
    <row r="292" spans="14:15" x14ac:dyDescent="0.25">
      <c r="N292" s="21" t="str">
        <f>CONCATENATE(K$22,K23)</f>
        <v>Kevin KisnerJimmy Walker</v>
      </c>
      <c r="O292" s="22">
        <f t="shared" si="34"/>
        <v>0</v>
      </c>
    </row>
    <row r="293" spans="14:15" x14ac:dyDescent="0.25">
      <c r="N293" s="21" t="str">
        <f t="shared" ref="N293:N295" si="39">CONCATENATE(K$22,K24)</f>
        <v>Kevin KisnerJ.B. Holmes</v>
      </c>
      <c r="O293" s="22">
        <f t="shared" si="34"/>
        <v>0</v>
      </c>
    </row>
    <row r="294" spans="14:15" x14ac:dyDescent="0.25">
      <c r="N294" s="21" t="str">
        <f t="shared" si="39"/>
        <v>Kevin KisnerShane Lowry</v>
      </c>
      <c r="O294" s="22">
        <f t="shared" si="34"/>
        <v>0</v>
      </c>
    </row>
    <row r="295" spans="14:15" x14ac:dyDescent="0.25">
      <c r="N295" s="21" t="str">
        <f t="shared" si="39"/>
        <v>Kevin KisnerPaul Casey</v>
      </c>
      <c r="O295" s="22">
        <f t="shared" si="34"/>
        <v>0</v>
      </c>
    </row>
    <row r="296" spans="14:15" x14ac:dyDescent="0.25">
      <c r="N296" s="21" t="str">
        <f>CONCATENATE(K$23,K24)</f>
        <v>Jimmy WalkerJ.B. Holmes</v>
      </c>
      <c r="O296" s="22">
        <f t="shared" si="34"/>
        <v>0</v>
      </c>
    </row>
    <row r="297" spans="14:15" x14ac:dyDescent="0.25">
      <c r="N297" s="21" t="str">
        <f t="shared" ref="N297:N298" si="40">CONCATENATE(K$23,K25)</f>
        <v>Jimmy WalkerShane Lowry</v>
      </c>
      <c r="O297" s="22">
        <f t="shared" si="34"/>
        <v>0</v>
      </c>
    </row>
    <row r="298" spans="14:15" x14ac:dyDescent="0.25">
      <c r="N298" s="21" t="str">
        <f t="shared" si="40"/>
        <v>Jimmy WalkerPaul Casey</v>
      </c>
      <c r="O298" s="22">
        <f t="shared" si="34"/>
        <v>0</v>
      </c>
    </row>
    <row r="299" spans="14:15" x14ac:dyDescent="0.25">
      <c r="N299" s="21" t="str">
        <f>CONCATENATE(K$24,K25)</f>
        <v>J.B. HolmesShane Lowry</v>
      </c>
      <c r="O299" s="22">
        <f t="shared" si="34"/>
        <v>0</v>
      </c>
    </row>
    <row r="300" spans="14:15" x14ac:dyDescent="0.25">
      <c r="N300" s="21" t="str">
        <f>CONCATENATE(K$24,K26)</f>
        <v>J.B. HolmesPaul Casey</v>
      </c>
      <c r="O300" s="22">
        <f t="shared" si="34"/>
        <v>0</v>
      </c>
    </row>
    <row r="301" spans="14:15" x14ac:dyDescent="0.25">
      <c r="N301" s="21" t="str">
        <f>CONCATENATE(K$25,K26)</f>
        <v>Shane LowryPaul Casey</v>
      </c>
      <c r="O301" s="22">
        <f t="shared" si="34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nualHistory">
                <anchor moveWithCells="1" sizeWithCells="1">
                  <from>
                    <xdr:col>10</xdr:col>
                    <xdr:colOff>704850</xdr:colOff>
                    <xdr:row>27</xdr:row>
                    <xdr:rowOff>66675</xdr:rowOff>
                  </from>
                  <to>
                    <xdr:col>11</xdr:col>
                    <xdr:colOff>914400</xdr:colOff>
                    <xdr:row>29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cratch"/>
  <dimension ref="E1:F13"/>
  <sheetViews>
    <sheetView workbookViewId="0">
      <selection activeCell="B20" sqref="B20"/>
    </sheetView>
  </sheetViews>
  <sheetFormatPr defaultRowHeight="15.75" x14ac:dyDescent="0.25"/>
  <cols>
    <col min="1" max="3" width="16.125" bestFit="1" customWidth="1"/>
    <col min="12" max="12" width="16.125" bestFit="1" customWidth="1"/>
    <col min="13" max="13" width="15.375" bestFit="1" customWidth="1"/>
    <col min="14" max="14" width="13.5" bestFit="1" customWidth="1"/>
  </cols>
  <sheetData>
    <row r="1" spans="5:6" x14ac:dyDescent="0.25">
      <c r="E1" t="s">
        <v>21</v>
      </c>
      <c r="F1">
        <v>0</v>
      </c>
    </row>
    <row r="2" spans="5:6" x14ac:dyDescent="0.25">
      <c r="E2" t="s">
        <v>22</v>
      </c>
      <c r="F2">
        <v>0</v>
      </c>
    </row>
    <row r="3" spans="5:6" x14ac:dyDescent="0.25">
      <c r="E3" t="s">
        <v>23</v>
      </c>
      <c r="F3">
        <v>0</v>
      </c>
    </row>
    <row r="4" spans="5:6" x14ac:dyDescent="0.25">
      <c r="E4" t="s">
        <v>24</v>
      </c>
      <c r="F4">
        <v>0</v>
      </c>
    </row>
    <row r="5" spans="5:6" x14ac:dyDescent="0.25">
      <c r="E5" t="s">
        <v>25</v>
      </c>
      <c r="F5">
        <v>0</v>
      </c>
    </row>
    <row r="6" spans="5:6" x14ac:dyDescent="0.25">
      <c r="E6" t="s">
        <v>26</v>
      </c>
      <c r="F6">
        <v>1</v>
      </c>
    </row>
    <row r="7" spans="5:6" x14ac:dyDescent="0.25">
      <c r="E7" t="s">
        <v>27</v>
      </c>
      <c r="F7">
        <v>0</v>
      </c>
    </row>
    <row r="8" spans="5:6" x14ac:dyDescent="0.25">
      <c r="E8" t="s">
        <v>28</v>
      </c>
      <c r="F8">
        <v>0</v>
      </c>
    </row>
    <row r="9" spans="5:6" x14ac:dyDescent="0.25">
      <c r="E9" t="s">
        <v>29</v>
      </c>
      <c r="F9">
        <v>0</v>
      </c>
    </row>
    <row r="10" spans="5:6" x14ac:dyDescent="0.25">
      <c r="E10" t="s">
        <v>30</v>
      </c>
      <c r="F10">
        <v>0</v>
      </c>
    </row>
    <row r="11" spans="5:6" x14ac:dyDescent="0.25">
      <c r="E11" t="s">
        <v>31</v>
      </c>
      <c r="F11">
        <v>0</v>
      </c>
    </row>
    <row r="12" spans="5:6" x14ac:dyDescent="0.25">
      <c r="E12" t="s">
        <v>32</v>
      </c>
      <c r="F12">
        <v>1</v>
      </c>
    </row>
    <row r="13" spans="5:6" x14ac:dyDescent="0.25">
      <c r="E13" t="s">
        <v>33</v>
      </c>
      <c r="F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cratch2"/>
  <dimension ref="A1:A2"/>
  <sheetViews>
    <sheetView workbookViewId="0">
      <selection activeCell="B8" sqref="B8"/>
    </sheetView>
  </sheetViews>
  <sheetFormatPr defaultRowHeight="15.75" x14ac:dyDescent="0.25"/>
  <sheetData>
    <row r="1" spans="1:1" x14ac:dyDescent="0.25">
      <c r="A1" t="s">
        <v>26</v>
      </c>
    </row>
    <row r="2" spans="1:1" x14ac:dyDescent="0.25">
      <c r="A2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Dashboard</vt:lpstr>
      <vt:lpstr>Participants</vt:lpstr>
      <vt:lpstr>Match Pairings</vt:lpstr>
      <vt:lpstr>Match History</vt:lpstr>
      <vt:lpstr>Scratch</vt:lpstr>
      <vt:lpstr>Scratch2</vt:lpstr>
      <vt:lpstr>excludedCount</vt:lpstr>
      <vt:lpstr>fifthCount</vt:lpstr>
      <vt:lpstr>matchupCount</vt:lpstr>
      <vt:lpstr>Participants</vt:lpstr>
      <vt:lpstr>playerPair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William Fehringer</cp:lastModifiedBy>
  <dcterms:created xsi:type="dcterms:W3CDTF">2016-02-27T18:02:09Z</dcterms:created>
  <dcterms:modified xsi:type="dcterms:W3CDTF">2016-08-24T14:45:26Z</dcterms:modified>
</cp:coreProperties>
</file>